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_rels/workbook.xml.rels" ContentType="application/vnd.openxmlformats-package.relationships+xml"/>
  <Override PartName="/customXml/itemProps5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ject info summary" sheetId="1" state="visible" r:id="rId3"/>
    <sheet name="Gannt" sheetId="2" state="visible" r:id="rId4"/>
    <sheet name="Co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Ian Gibson</author>
  </authors>
  <commentList>
    <comment ref="B23" authorId="0">
      <text>
        <r>
          <rPr>
            <sz val="10"/>
            <rFont val="Arial"/>
            <family val="2"/>
          </rPr>
          <t xml:space="preserve">Slightly over allocated i time (Contingency)</t>
        </r>
      </text>
    </comment>
    <comment ref="B36" authorId="0">
      <text>
        <r>
          <rPr>
            <sz val="10"/>
            <rFont val="Arial"/>
            <family val="2"/>
          </rPr>
          <t xml:space="preserve">Very slightly over allocated (3 hours)</t>
        </r>
      </text>
    </comment>
  </commentList>
</comments>
</file>

<file path=xl/sharedStrings.xml><?xml version="1.0" encoding="utf-8"?>
<sst xmlns="http://schemas.openxmlformats.org/spreadsheetml/2006/main" count="535" uniqueCount="137">
  <si>
    <t xml:space="preserve">RBSX Group Ltd Financial Investment and User Managment System</t>
  </si>
  <si>
    <t xml:space="preserve">Key Project Info</t>
  </si>
  <si>
    <t xml:space="preserve">Intended start Date</t>
  </si>
  <si>
    <t xml:space="preserve">Requested time scale (Weeks)</t>
  </si>
  <si>
    <t xml:space="preserve">Requested time scale (Days)</t>
  </si>
  <si>
    <t xml:space="preserve">Hours worked per day per Staff member</t>
  </si>
  <si>
    <t xml:space="preserve">Predicted staff Absence (Days)</t>
  </si>
  <si>
    <r>
      <rPr>
        <b val="true"/>
        <sz val="11"/>
        <rFont val="Trebuchet MS"/>
        <family val="0"/>
        <charset val="1"/>
      </rPr>
      <t xml:space="preserve">Task</t>
    </r>
    <r>
      <rPr>
        <sz val="11"/>
        <rFont val="Trebuchet MS"/>
        <family val="0"/>
        <charset val="1"/>
      </rPr>
      <t xml:space="preserve"> </t>
    </r>
  </si>
  <si>
    <r>
      <rPr>
        <b val="true"/>
        <sz val="11"/>
        <rFont val="Trebuchet MS"/>
        <family val="0"/>
        <charset val="1"/>
      </rPr>
      <t xml:space="preserve">Estimated number of work hours</t>
    </r>
    <r>
      <rPr>
        <sz val="11"/>
        <rFont val="Trebuchet MS"/>
        <family val="0"/>
        <charset val="1"/>
      </rPr>
      <t xml:space="preserve"> </t>
    </r>
  </si>
  <si>
    <t xml:space="preserve">Staff member</t>
  </si>
  <si>
    <t xml:space="preserve">Role</t>
  </si>
  <si>
    <t xml:space="preserve">Key</t>
  </si>
  <si>
    <t xml:space="preserve">Pay per hour</t>
  </si>
  <si>
    <t xml:space="preserve">Upgrade infrastructure </t>
  </si>
  <si>
    <t xml:space="preserve">21 </t>
  </si>
  <si>
    <t xml:space="preserve">Sarah O’Toole </t>
  </si>
  <si>
    <t xml:space="preserve">Senior Software Engineer</t>
  </si>
  <si>
    <t xml:space="preserve">Install physical server </t>
  </si>
  <si>
    <t xml:space="preserve">7 </t>
  </si>
  <si>
    <t xml:space="preserve">Ahad Shafiq</t>
  </si>
  <si>
    <t xml:space="preserve">Junior Software Engineer</t>
  </si>
  <si>
    <t xml:space="preserve">Develop Module - Investments and savings </t>
  </si>
  <si>
    <t xml:space="preserve">Terry Duran </t>
  </si>
  <si>
    <t xml:space="preserve">Develop Module  - User interface </t>
  </si>
  <si>
    <t xml:space="preserve">70 </t>
  </si>
  <si>
    <t xml:space="preserve">Gina Diaz </t>
  </si>
  <si>
    <t xml:space="preserve">Database Engineer</t>
  </si>
  <si>
    <t xml:space="preserve">Develop Module - Information feed </t>
  </si>
  <si>
    <t xml:space="preserve">126 </t>
  </si>
  <si>
    <t xml:space="preserve">Marius Bronski </t>
  </si>
  <si>
    <t xml:space="preserve">Network Engineer</t>
  </si>
  <si>
    <t xml:space="preserve">Develop Module - Back-end database </t>
  </si>
  <si>
    <t xml:space="preserve">Develop Module  - Data analytics </t>
  </si>
  <si>
    <t xml:space="preserve">112 </t>
  </si>
  <si>
    <t xml:space="preserve">Develop Module – Communications </t>
  </si>
  <si>
    <t xml:space="preserve">105 </t>
  </si>
  <si>
    <t xml:space="preserve">Deploy Modules </t>
  </si>
  <si>
    <t xml:space="preserve">(per module) </t>
  </si>
  <si>
    <t xml:space="preserve">Unit testing </t>
  </si>
  <si>
    <t xml:space="preserve"> Integration testing </t>
  </si>
  <si>
    <t xml:space="preserve">14 </t>
  </si>
  <si>
    <t xml:space="preserve"> Fixing and regression testing for major fault </t>
  </si>
  <si>
    <t xml:space="preserve">(per fault found) </t>
  </si>
  <si>
    <t xml:space="preserve"> Fixing and regression testing for minor fault </t>
  </si>
  <si>
    <t xml:space="preserve">User/acceptance testing </t>
  </si>
  <si>
    <t xml:space="preserve">35 </t>
  </si>
  <si>
    <t xml:space="preserve">Create a Test plan </t>
  </si>
  <si>
    <t xml:space="preserve">User Training 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</si>
  <si>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</si>
  <si>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</si>
  <si>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</si>
  <si>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</si>
  <si>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</si>
  <si>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</si>
  <si>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</si>
  <si>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Task</t>
  </si>
  <si>
    <t xml:space="preserve">Sub Task/Notes</t>
  </si>
  <si>
    <t xml:space="preserve">Staff assigned</t>
  </si>
  <si>
    <t xml:space="preserve">Total hours assigned to task</t>
  </si>
  <si>
    <t xml:space="preserve">Target completion date</t>
  </si>
  <si>
    <t xml:space="preserve">Cloud server chosen – contingency time</t>
  </si>
  <si>
    <t xml:space="preserve">Phase 1</t>
  </si>
  <si>
    <t xml:space="preserve">Test phase 1</t>
  </si>
  <si>
    <t xml:space="preserve">Database minor fault 1</t>
  </si>
  <si>
    <t xml:space="preserve">Phase 2</t>
  </si>
  <si>
    <t xml:space="preserve">Test phase 2</t>
  </si>
  <si>
    <t xml:space="preserve">Database minor fault 2</t>
  </si>
  <si>
    <t xml:space="preserve">Phase 3</t>
  </si>
  <si>
    <t xml:space="preserve">Test phase 3</t>
  </si>
  <si>
    <t xml:space="preserve">Database minor fault 3</t>
  </si>
  <si>
    <t xml:space="preserve">Test Phase 1</t>
  </si>
  <si>
    <t xml:space="preserve">Investments minor fault 1</t>
  </si>
  <si>
    <t xml:space="preserve">Test Phase 2</t>
  </si>
  <si>
    <t xml:space="preserve">Investments minor fault 2</t>
  </si>
  <si>
    <t xml:space="preserve">Test Phase 3</t>
  </si>
  <si>
    <t xml:space="preserve">Investments minor fault 3</t>
  </si>
  <si>
    <t xml:space="preserve">Investments and Database</t>
  </si>
  <si>
    <t xml:space="preserve">Predicted Major fault 1</t>
  </si>
  <si>
    <t xml:space="preserve">Deploy database  and investments</t>
  </si>
  <si>
    <t xml:space="preserve">Analytics Minor Fault 1</t>
  </si>
  <si>
    <t xml:space="preserve">Analytics Minor Fault 2</t>
  </si>
  <si>
    <t xml:space="preserve">Analytics Minor Fault 3</t>
  </si>
  <si>
    <t xml:space="preserve">integrate analytics</t>
  </si>
  <si>
    <t xml:space="preserve">Deploy analytics</t>
  </si>
  <si>
    <t xml:space="preserve">Information feed minor fault 1</t>
  </si>
  <si>
    <t xml:space="preserve">Information feed minor fault 2</t>
  </si>
  <si>
    <t xml:space="preserve">Information feed minor fault 3</t>
  </si>
  <si>
    <t xml:space="preserve">Integrate Info feed with rest of system</t>
  </si>
  <si>
    <t xml:space="preserve">Deploy info feed</t>
  </si>
  <si>
    <t xml:space="preserve">Comms minor fault 1</t>
  </si>
  <si>
    <t xml:space="preserve">Comms minor fault 2</t>
  </si>
  <si>
    <t xml:space="preserve">Comms minor fault 3</t>
  </si>
  <si>
    <t xml:space="preserve">Integrate Comms</t>
  </si>
  <si>
    <t xml:space="preserve">Deploy comms</t>
  </si>
  <si>
    <t xml:space="preserve">Predicted major fault 2</t>
  </si>
  <si>
    <t xml:space="preserve">UI test Phase 1</t>
  </si>
  <si>
    <t xml:space="preserve">UI Test Phase 1</t>
  </si>
  <si>
    <t xml:space="preserve">UI Minor Fault 1</t>
  </si>
  <si>
    <t xml:space="preserve">UI test Phase 2</t>
  </si>
  <si>
    <t xml:space="preserve">UI Test Phase 2</t>
  </si>
  <si>
    <t xml:space="preserve">UI Minor Fault 2</t>
  </si>
  <si>
    <t xml:space="preserve">UI test Phase 3</t>
  </si>
  <si>
    <t xml:space="preserve">UI Test Phase 3</t>
  </si>
  <si>
    <t xml:space="preserve">UI Minor Fault 3</t>
  </si>
  <si>
    <t xml:space="preserve">integrate UI</t>
  </si>
  <si>
    <t xml:space="preserve">Deploy UI</t>
  </si>
  <si>
    <t xml:space="preserve">Predicted major fault 3</t>
  </si>
  <si>
    <t xml:space="preserve">Project manager</t>
  </si>
  <si>
    <t xml:space="preserve">Staff Costs</t>
  </si>
  <si>
    <t xml:space="preserve">Staff</t>
  </si>
  <si>
    <t xml:space="preserve">Hours worked</t>
  </si>
  <si>
    <t xml:space="preserve">Rate of pay</t>
  </si>
  <si>
    <t xml:space="preserve">Cost for project</t>
  </si>
  <si>
    <t xml:space="preserve">Current Income</t>
  </si>
  <si>
    <t xml:space="preserve">Current outgoings</t>
  </si>
  <si>
    <t xml:space="preserve">Project Costs</t>
  </si>
  <si>
    <t xml:space="preserve">Forecast With Solution</t>
  </si>
  <si>
    <t xml:space="preserve">Item</t>
  </si>
  <si>
    <t xml:space="preserve">Costs</t>
  </si>
  <si>
    <t xml:space="preserve">QTY</t>
  </si>
  <si>
    <t xml:space="preserve">Subtotal</t>
  </si>
  <si>
    <t xml:space="preserve">Current year</t>
  </si>
  <si>
    <t xml:space="preserve">After 1 year</t>
  </si>
  <si>
    <t xml:space="preserve">After 2 year</t>
  </si>
  <si>
    <t xml:space="preserve">After 3 years</t>
  </si>
  <si>
    <t xml:space="preserve">Software development company base fee </t>
  </si>
  <si>
    <t xml:space="preserve">Cost of training and development of internal staff </t>
  </si>
  <si>
    <t xml:space="preserve">Cost of equipment upgrades (laptops, work stations, etc.) </t>
  </si>
  <si>
    <t xml:space="preserve">One-off costs</t>
  </si>
  <si>
    <t xml:space="preserve">Cost of software licensing </t>
  </si>
  <si>
    <t xml:space="preserve">Ongoing costs</t>
  </si>
  <si>
    <t xml:space="preserve">Cost of new server  (cloud)</t>
  </si>
  <si>
    <t xml:space="preserve">Total costs</t>
  </si>
  <si>
    <t xml:space="preserve">Cost of infrastructure (networking) upgrades </t>
  </si>
  <si>
    <t xml:space="preserve">Profit/Loss
(Inc. Carry forward)</t>
  </si>
  <si>
    <t xml:space="preserve">Additional network technician </t>
  </si>
  <si>
    <t xml:space="preserve">Maintenance costs (server, equipment, infrastructure) 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</si>
</sst>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£#,##0.00;[RED]&quot;-£&quot;#,##0.00"/>
    <numFmt numFmtId="167" formatCode="\£#,##0.0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name val="Trebuchet MS"/>
      <family val="0"/>
      <charset val="1"/>
    </font>
    <font>
      <sz val="11"/>
      <name val="Trebuchet MS"/>
      <family val="0"/>
      <charset val="1"/>
    </font>
    <font>
      <sz val="11"/>
      <color rgb="FF242424"/>
      <name val="Aptos Narrow"/>
      <family val="0"/>
      <charset val="1"/>
    </font>
    <font>
      <sz val="11"/>
      <color rgb="FF000000"/>
      <name val="Trebuchet MS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EBEBE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theme="0" tint="-0.25"/>
        <bgColor rgb="FFBEBEBE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EBEB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242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BEBEB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id="1" name="Table1" displayName="Table1" ref="A9:B30" headerRowCount="1" totalsRowCount="0" totalsRowShown="0">
  <autoFilter ref="A9:B30"/>
  <tableColumns count="2">
    <tableColumn id="1" name="Task "/>
    <tableColumn id="2" name="Estimated number of work hours 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6.86"/>
    <col collapsed="false" customWidth="true" hidden="false" outlineLevel="0" max="2" min="2" style="1" width="18"/>
    <col collapsed="false" customWidth="true" hidden="false" outlineLevel="0" max="4" min="4" style="1" width="14.14"/>
    <col collapsed="false" customWidth="true" hidden="false" outlineLevel="0" max="5" min="5" style="1" width="23.1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/>
    </row>
    <row r="3" customFormat="false" ht="15" hidden="false" customHeight="false" outlineLevel="0" collapsed="false">
      <c r="A3" s="4" t="s">
        <v>2</v>
      </c>
      <c r="B3" s="5" t="n">
        <v>45199</v>
      </c>
    </row>
    <row r="4" customFormat="false" ht="15" hidden="false" customHeight="false" outlineLevel="0" collapsed="false">
      <c r="A4" s="4" t="s">
        <v>3</v>
      </c>
      <c r="B4" s="6" t="n">
        <v>17</v>
      </c>
    </row>
    <row r="5" customFormat="false" ht="15" hidden="false" customHeight="false" outlineLevel="0" collapsed="false">
      <c r="A5" s="4" t="s">
        <v>4</v>
      </c>
      <c r="B5" s="6" t="n">
        <f aca="false">B4*7</f>
        <v>119</v>
      </c>
    </row>
    <row r="6" customFormat="false" ht="15" hidden="false" customHeight="false" outlineLevel="0" collapsed="false">
      <c r="A6" s="4" t="s">
        <v>5</v>
      </c>
      <c r="B6" s="6" t="n">
        <v>7</v>
      </c>
    </row>
    <row r="7" customFormat="false" ht="15" hidden="false" customHeight="false" outlineLevel="0" collapsed="false">
      <c r="A7" s="7" t="s">
        <v>6</v>
      </c>
      <c r="B7" s="8" t="n">
        <v>0</v>
      </c>
    </row>
    <row r="9" customFormat="false" ht="39.55" hidden="false" customHeight="false" outlineLevel="0" collapsed="false">
      <c r="A9" s="9" t="s">
        <v>7</v>
      </c>
      <c r="B9" s="10" t="s">
        <v>8</v>
      </c>
      <c r="D9" s="11" t="s">
        <v>9</v>
      </c>
      <c r="E9" s="11" t="s">
        <v>10</v>
      </c>
      <c r="F9" s="11" t="s">
        <v>11</v>
      </c>
      <c r="G9" s="11" t="s">
        <v>12</v>
      </c>
    </row>
    <row r="10" customFormat="false" ht="16.4" hidden="false" customHeight="false" outlineLevel="0" collapsed="false">
      <c r="A10" s="12" t="s">
        <v>13</v>
      </c>
      <c r="B10" s="13" t="s">
        <v>14</v>
      </c>
      <c r="D10" s="14" t="s">
        <v>15</v>
      </c>
      <c r="E10" s="14" t="s">
        <v>16</v>
      </c>
      <c r="F10" s="15"/>
      <c r="G10" s="16" t="n">
        <v>105</v>
      </c>
    </row>
    <row r="11" customFormat="false" ht="16.4" hidden="false" customHeight="false" outlineLevel="0" collapsed="false">
      <c r="A11" s="12" t="s">
        <v>17</v>
      </c>
      <c r="B11" s="13" t="s">
        <v>18</v>
      </c>
      <c r="D11" s="14" t="s">
        <v>19</v>
      </c>
      <c r="E11" s="14" t="s">
        <v>20</v>
      </c>
      <c r="F11" s="17"/>
      <c r="G11" s="16" t="n">
        <v>25</v>
      </c>
    </row>
    <row r="12" customFormat="false" ht="31.3" hidden="false" customHeight="false" outlineLevel="0" collapsed="false">
      <c r="A12" s="12" t="s">
        <v>21</v>
      </c>
      <c r="B12" s="13" t="n">
        <v>115</v>
      </c>
      <c r="D12" s="18" t="s">
        <v>22</v>
      </c>
      <c r="E12" s="14" t="s">
        <v>20</v>
      </c>
      <c r="F12" s="19"/>
      <c r="G12" s="16" t="n">
        <v>45</v>
      </c>
    </row>
    <row r="13" customFormat="false" ht="16.4" hidden="false" customHeight="false" outlineLevel="0" collapsed="false">
      <c r="A13" s="12" t="s">
        <v>23</v>
      </c>
      <c r="B13" s="13" t="s">
        <v>24</v>
      </c>
      <c r="D13" s="14" t="s">
        <v>25</v>
      </c>
      <c r="E13" s="14" t="s">
        <v>26</v>
      </c>
      <c r="F13" s="20"/>
      <c r="G13" s="16" t="n">
        <v>47.5</v>
      </c>
    </row>
    <row r="14" customFormat="false" ht="16.4" hidden="false" customHeight="false" outlineLevel="0" collapsed="false">
      <c r="A14" s="12" t="s">
        <v>27</v>
      </c>
      <c r="B14" s="13" t="s">
        <v>28</v>
      </c>
      <c r="D14" s="18" t="s">
        <v>29</v>
      </c>
      <c r="E14" s="14" t="s">
        <v>30</v>
      </c>
      <c r="F14" s="21"/>
      <c r="G14" s="16" t="n">
        <v>73</v>
      </c>
    </row>
    <row r="15" customFormat="false" ht="16.4" hidden="false" customHeight="false" outlineLevel="0" collapsed="false">
      <c r="A15" s="12" t="s">
        <v>31</v>
      </c>
      <c r="B15" s="13" t="n">
        <v>147</v>
      </c>
    </row>
    <row r="16" customFormat="false" ht="16.4" hidden="false" customHeight="false" outlineLevel="0" collapsed="false">
      <c r="A16" s="12" t="s">
        <v>32</v>
      </c>
      <c r="B16" s="13" t="s">
        <v>33</v>
      </c>
    </row>
    <row r="17" customFormat="false" ht="16.4" hidden="false" customHeight="false" outlineLevel="0" collapsed="false">
      <c r="A17" s="12" t="s">
        <v>34</v>
      </c>
      <c r="B17" s="13" t="s">
        <v>35</v>
      </c>
    </row>
    <row r="18" customFormat="false" ht="16.4" hidden="false" customHeight="false" outlineLevel="0" collapsed="false">
      <c r="A18" s="12" t="s">
        <v>36</v>
      </c>
      <c r="B18" s="22" t="s">
        <v>18</v>
      </c>
    </row>
    <row r="19" customFormat="false" ht="15" hidden="false" customHeight="false" outlineLevel="0" collapsed="false">
      <c r="A19" s="12"/>
      <c r="B19" s="23" t="s">
        <v>37</v>
      </c>
    </row>
    <row r="20" customFormat="false" ht="16.4" hidden="false" customHeight="false" outlineLevel="0" collapsed="false">
      <c r="A20" s="12" t="s">
        <v>38</v>
      </c>
      <c r="B20" s="22" t="s">
        <v>14</v>
      </c>
    </row>
    <row r="21" customFormat="false" ht="15" hidden="false" customHeight="false" outlineLevel="0" collapsed="false">
      <c r="A21" s="12"/>
      <c r="B21" s="23" t="s">
        <v>37</v>
      </c>
    </row>
    <row r="22" customFormat="false" ht="16.4" hidden="false" customHeight="false" outlineLevel="0" collapsed="false">
      <c r="A22" s="12" t="s">
        <v>39</v>
      </c>
      <c r="B22" s="22" t="s">
        <v>40</v>
      </c>
    </row>
    <row r="23" customFormat="false" ht="15" hidden="false" customHeight="false" outlineLevel="0" collapsed="false">
      <c r="A23" s="12"/>
      <c r="B23" s="23" t="s">
        <v>37</v>
      </c>
    </row>
    <row r="24" customFormat="false" ht="29.1" hidden="false" customHeight="true" outlineLevel="0" collapsed="false">
      <c r="A24" s="12" t="s">
        <v>41</v>
      </c>
      <c r="B24" s="22" t="s">
        <v>40</v>
      </c>
    </row>
    <row r="25" customFormat="false" ht="16.5" hidden="false" customHeight="true" outlineLevel="0" collapsed="false">
      <c r="A25" s="12"/>
      <c r="B25" s="23" t="s">
        <v>42</v>
      </c>
    </row>
    <row r="26" customFormat="false" ht="38.05" hidden="false" customHeight="true" outlineLevel="0" collapsed="false">
      <c r="A26" s="12" t="s">
        <v>43</v>
      </c>
      <c r="B26" s="22" t="s">
        <v>18</v>
      </c>
    </row>
    <row r="27" customFormat="false" ht="16.5" hidden="false" customHeight="true" outlineLevel="0" collapsed="false">
      <c r="A27" s="12"/>
      <c r="B27" s="23" t="s">
        <v>42</v>
      </c>
    </row>
    <row r="28" customFormat="false" ht="16.4" hidden="false" customHeight="false" outlineLevel="0" collapsed="false">
      <c r="A28" s="12" t="s">
        <v>44</v>
      </c>
      <c r="B28" s="13" t="s">
        <v>45</v>
      </c>
    </row>
    <row r="29" customFormat="false" ht="16.4" hidden="false" customHeight="false" outlineLevel="0" collapsed="false">
      <c r="A29" s="12" t="s">
        <v>46</v>
      </c>
      <c r="B29" s="13" t="s">
        <v>40</v>
      </c>
    </row>
    <row r="30" customFormat="false" ht="16.4" hidden="false" customHeight="false" outlineLevel="0" collapsed="false">
      <c r="A30" s="24" t="s">
        <v>47</v>
      </c>
      <c r="B30" s="25" t="s">
        <v>14</v>
      </c>
    </row>
  </sheetData>
  <mergeCells count="1"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D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3" activePane="bottomRight" state="frozen"/>
      <selection pane="topLeft" activeCell="A1" activeCellId="0" sqref="A1"/>
      <selection pane="topRight" activeCell="E1" activeCellId="0" sqref="E1"/>
      <selection pane="bottomLeft" activeCell="A53" activeCellId="0" sqref="A53"/>
      <selection pane="bottomRight" activeCell="C41" activeCellId="0" sqref="C4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7.57"/>
    <col collapsed="false" customWidth="true" hidden="false" outlineLevel="0" max="2" min="2" style="26" width="26.7"/>
    <col collapsed="false" customWidth="true" hidden="false" outlineLevel="0" max="4" min="3" style="1" width="19.72"/>
    <col collapsed="false" customWidth="true" hidden="false" outlineLevel="0" max="6" min="5" style="1" width="11.15"/>
    <col collapsed="false" customWidth="true" hidden="false" outlineLevel="0" max="7" min="7" style="1" width="11.57"/>
    <col collapsed="false" customWidth="true" hidden="false" outlineLevel="0" max="13" min="8" style="1" width="11.15"/>
    <col collapsed="false" customWidth="true" hidden="false" outlineLevel="0" max="14" min="14" style="1" width="11.57"/>
    <col collapsed="false" customWidth="true" hidden="false" outlineLevel="0" max="20" min="15" style="1" width="11.15"/>
    <col collapsed="false" customWidth="true" hidden="false" outlineLevel="0" max="21" min="21" style="1" width="11.57"/>
    <col collapsed="false" customWidth="true" hidden="false" outlineLevel="0" max="27" min="22" style="1" width="11.15"/>
    <col collapsed="false" customWidth="true" hidden="false" outlineLevel="0" max="28" min="28" style="1" width="11.57"/>
    <col collapsed="false" customWidth="true" hidden="false" outlineLevel="0" max="34" min="29" style="1" width="11.15"/>
    <col collapsed="false" customWidth="true" hidden="false" outlineLevel="0" max="35" min="35" style="1" width="11.57"/>
    <col collapsed="false" customWidth="true" hidden="false" outlineLevel="0" max="41" min="36" style="1" width="11.15"/>
    <col collapsed="false" customWidth="true" hidden="false" outlineLevel="0" max="42" min="42" style="1" width="11.57"/>
    <col collapsed="false" customWidth="true" hidden="false" outlineLevel="0" max="48" min="43" style="1" width="11.15"/>
    <col collapsed="false" customWidth="true" hidden="false" outlineLevel="0" max="49" min="49" style="1" width="11.57"/>
    <col collapsed="false" customWidth="true" hidden="false" outlineLevel="0" max="55" min="50" style="1" width="11.15"/>
    <col collapsed="false" customWidth="true" hidden="false" outlineLevel="0" max="56" min="56" style="1" width="11.57"/>
    <col collapsed="false" customWidth="true" hidden="false" outlineLevel="0" max="62" min="57" style="1" width="11.15"/>
    <col collapsed="false" customWidth="true" hidden="false" outlineLevel="0" max="63" min="63" style="1" width="11.57"/>
    <col collapsed="false" customWidth="true" hidden="false" outlineLevel="0" max="69" min="64" style="1" width="11.15"/>
    <col collapsed="false" customWidth="true" hidden="false" outlineLevel="0" max="70" min="70" style="1" width="11.57"/>
    <col collapsed="false" customWidth="true" hidden="false" outlineLevel="0" max="76" min="71" style="1" width="11.15"/>
    <col collapsed="false" customWidth="true" hidden="false" outlineLevel="0" max="77" min="77" style="1" width="11.57"/>
    <col collapsed="false" customWidth="true" hidden="false" outlineLevel="0" max="83" min="78" style="1" width="11.15"/>
    <col collapsed="false" customWidth="true" hidden="false" outlineLevel="0" max="84" min="84" style="1" width="11.57"/>
    <col collapsed="false" customWidth="true" hidden="false" outlineLevel="0" max="90" min="85" style="1" width="11.15"/>
    <col collapsed="false" customWidth="true" hidden="false" outlineLevel="0" max="91" min="91" style="1" width="11.57"/>
    <col collapsed="false" customWidth="true" hidden="false" outlineLevel="0" max="97" min="92" style="1" width="11.15"/>
    <col collapsed="false" customWidth="true" hidden="false" outlineLevel="0" max="98" min="98" style="1" width="11.57"/>
    <col collapsed="false" customWidth="true" hidden="false" outlineLevel="0" max="104" min="99" style="1" width="11.15"/>
    <col collapsed="false" customWidth="true" hidden="false" outlineLevel="0" max="105" min="105" style="1" width="11.57"/>
    <col collapsed="false" customWidth="true" hidden="false" outlineLevel="0" max="111" min="106" style="1" width="11.15"/>
    <col collapsed="false" customWidth="true" hidden="false" outlineLevel="0" max="112" min="112" style="1" width="11.57"/>
    <col collapsed="false" customWidth="true" hidden="false" outlineLevel="0" max="118" min="113" style="1" width="11.15"/>
    <col collapsed="false" customWidth="true" hidden="false" outlineLevel="0" max="119" min="119" style="1" width="11.57"/>
    <col collapsed="false" customWidth="true" hidden="false" outlineLevel="0" max="125" min="120" style="1" width="11.15"/>
    <col collapsed="false" customWidth="true" hidden="false" outlineLevel="0" max="126" min="126" style="1" width="11.57"/>
    <col collapsed="false" customWidth="true" hidden="false" outlineLevel="0" max="132" min="127" style="1" width="11.15"/>
    <col collapsed="false" customWidth="true" hidden="false" outlineLevel="0" max="133" min="133" style="1" width="11.57"/>
    <col collapsed="false" customWidth="true" hidden="false" outlineLevel="0" max="139" min="134" style="1" width="11.15"/>
    <col collapsed="false" customWidth="true" hidden="false" outlineLevel="0" max="140" min="140" style="1" width="11.57"/>
    <col collapsed="false" customWidth="true" hidden="false" outlineLevel="0" max="146" min="141" style="1" width="11.15"/>
    <col collapsed="false" customWidth="true" hidden="false" outlineLevel="0" max="147" min="147" style="1" width="11.57"/>
    <col collapsed="false" customWidth="true" hidden="false" outlineLevel="0" max="153" min="148" style="1" width="11.15"/>
    <col collapsed="false" customWidth="true" hidden="false" outlineLevel="0" max="154" min="154" style="1" width="11.57"/>
    <col collapsed="false" customWidth="true" hidden="false" outlineLevel="0" max="160" min="155" style="1" width="11.15"/>
  </cols>
  <sheetData>
    <row r="1" customFormat="false" ht="15" hidden="false" customHeight="false" outlineLevel="0" collapsed="false">
      <c r="DS1" s="27"/>
    </row>
    <row r="2" customFormat="false" ht="15" hidden="false" customHeight="false" outlineLevel="0" collapsed="false">
      <c r="E2" s="1" t="n">
        <v>1</v>
      </c>
      <c r="F2" s="1" t="n">
        <v>2</v>
      </c>
      <c r="G2" s="1" t="n">
        <v>3</v>
      </c>
      <c r="H2" s="1" t="n">
        <v>4</v>
      </c>
      <c r="I2" s="1" t="n">
        <v>5</v>
      </c>
      <c r="J2" s="1" t="n">
        <v>6</v>
      </c>
      <c r="K2" s="1" t="n">
        <v>7</v>
      </c>
      <c r="L2" s="1" t="n">
        <v>8</v>
      </c>
      <c r="M2" s="1" t="n">
        <v>9</v>
      </c>
      <c r="N2" s="1" t="n">
        <v>10</v>
      </c>
      <c r="O2" s="1" t="n">
        <v>11</v>
      </c>
      <c r="P2" s="1" t="n">
        <v>12</v>
      </c>
      <c r="Q2" s="1" t="n">
        <v>13</v>
      </c>
      <c r="R2" s="1" t="n">
        <v>14</v>
      </c>
      <c r="S2" s="1" t="n">
        <v>15</v>
      </c>
      <c r="T2" s="1" t="n">
        <v>16</v>
      </c>
      <c r="U2" s="1" t="n">
        <v>17</v>
      </c>
      <c r="V2" s="1" t="n">
        <v>18</v>
      </c>
      <c r="W2" s="1" t="n">
        <v>19</v>
      </c>
      <c r="X2" s="1" t="n">
        <v>20</v>
      </c>
      <c r="Y2" s="1" t="n">
        <v>21</v>
      </c>
      <c r="Z2" s="1" t="n">
        <v>22</v>
      </c>
      <c r="AA2" s="1" t="n">
        <v>23</v>
      </c>
      <c r="AB2" s="1" t="n">
        <v>24</v>
      </c>
      <c r="AC2" s="1" t="n">
        <v>25</v>
      </c>
      <c r="AD2" s="1" t="n">
        <v>26</v>
      </c>
      <c r="AE2" s="1" t="n">
        <v>27</v>
      </c>
      <c r="AF2" s="1" t="n">
        <v>28</v>
      </c>
      <c r="AG2" s="1" t="n">
        <v>29</v>
      </c>
      <c r="AH2" s="1" t="n">
        <v>30</v>
      </c>
      <c r="AI2" s="1" t="n">
        <v>31</v>
      </c>
      <c r="AJ2" s="1" t="n">
        <v>32</v>
      </c>
      <c r="AK2" s="1" t="n">
        <v>33</v>
      </c>
      <c r="AL2" s="1" t="n">
        <v>34</v>
      </c>
      <c r="AM2" s="1" t="n">
        <v>35</v>
      </c>
      <c r="AN2" s="1" t="n">
        <v>36</v>
      </c>
      <c r="AO2" s="1" t="n">
        <v>37</v>
      </c>
      <c r="AP2" s="1" t="n">
        <v>38</v>
      </c>
      <c r="AQ2" s="1" t="n">
        <v>39</v>
      </c>
      <c r="AR2" s="1" t="n">
        <v>40</v>
      </c>
      <c r="AS2" s="1" t="n">
        <v>41</v>
      </c>
      <c r="AT2" s="1" t="n">
        <v>42</v>
      </c>
      <c r="AU2" s="1" t="n">
        <v>43</v>
      </c>
      <c r="AV2" s="1" t="n">
        <v>44</v>
      </c>
      <c r="AW2" s="1" t="n">
        <v>45</v>
      </c>
      <c r="AX2" s="1" t="n">
        <v>46</v>
      </c>
      <c r="AY2" s="1" t="n">
        <v>47</v>
      </c>
      <c r="AZ2" s="1" t="n">
        <v>48</v>
      </c>
      <c r="BA2" s="1" t="n">
        <v>49</v>
      </c>
      <c r="BB2" s="1" t="n">
        <v>50</v>
      </c>
      <c r="BC2" s="1" t="n">
        <v>51</v>
      </c>
      <c r="BD2" s="1" t="n">
        <v>52</v>
      </c>
      <c r="BE2" s="1" t="n">
        <v>53</v>
      </c>
      <c r="BF2" s="1" t="n">
        <v>54</v>
      </c>
      <c r="BG2" s="1" t="n">
        <v>55</v>
      </c>
      <c r="BH2" s="1" t="n">
        <v>56</v>
      </c>
      <c r="BI2" s="1" t="n">
        <v>57</v>
      </c>
      <c r="BJ2" s="1" t="n">
        <v>58</v>
      </c>
      <c r="BK2" s="1" t="n">
        <v>59</v>
      </c>
      <c r="BL2" s="1" t="n">
        <v>60</v>
      </c>
      <c r="BM2" s="1" t="n">
        <v>61</v>
      </c>
      <c r="BN2" s="1" t="n">
        <v>62</v>
      </c>
      <c r="BO2" s="1" t="n">
        <v>63</v>
      </c>
      <c r="BP2" s="1" t="n">
        <v>64</v>
      </c>
      <c r="BQ2" s="1" t="n">
        <v>65</v>
      </c>
      <c r="BR2" s="1" t="n">
        <v>66</v>
      </c>
      <c r="BS2" s="1" t="n">
        <v>67</v>
      </c>
      <c r="BT2" s="1" t="n">
        <v>68</v>
      </c>
      <c r="BU2" s="1" t="n">
        <v>69</v>
      </c>
      <c r="BV2" s="1" t="n">
        <v>70</v>
      </c>
      <c r="BW2" s="1" t="n">
        <v>71</v>
      </c>
      <c r="BX2" s="1" t="n">
        <v>72</v>
      </c>
      <c r="BY2" s="1" t="n">
        <v>73</v>
      </c>
      <c r="BZ2" s="1" t="n">
        <v>74</v>
      </c>
      <c r="CA2" s="1" t="n">
        <v>75</v>
      </c>
      <c r="CB2" s="1" t="n">
        <v>76</v>
      </c>
      <c r="CC2" s="1" t="n">
        <v>77</v>
      </c>
      <c r="CD2" s="1" t="n">
        <v>78</v>
      </c>
      <c r="CE2" s="1" t="n">
        <v>79</v>
      </c>
      <c r="CF2" s="1" t="n">
        <v>80</v>
      </c>
      <c r="CG2" s="1" t="n">
        <v>81</v>
      </c>
      <c r="CH2" s="1" t="n">
        <v>82</v>
      </c>
      <c r="CI2" s="1" t="n">
        <v>83</v>
      </c>
      <c r="CJ2" s="1" t="n">
        <v>84</v>
      </c>
      <c r="CK2" s="1" t="n">
        <v>85</v>
      </c>
      <c r="CL2" s="1" t="n">
        <v>86</v>
      </c>
      <c r="CM2" s="1" t="n">
        <v>87</v>
      </c>
      <c r="CN2" s="1" t="n">
        <v>88</v>
      </c>
      <c r="CO2" s="1" t="n">
        <v>89</v>
      </c>
      <c r="CP2" s="1" t="n">
        <v>90</v>
      </c>
      <c r="CQ2" s="1" t="n">
        <v>91</v>
      </c>
      <c r="CR2" s="1" t="n">
        <v>92</v>
      </c>
      <c r="CS2" s="1" t="n">
        <v>93</v>
      </c>
      <c r="CT2" s="1" t="n">
        <v>94</v>
      </c>
      <c r="CU2" s="1" t="n">
        <v>95</v>
      </c>
      <c r="CV2" s="1" t="n">
        <v>96</v>
      </c>
      <c r="CW2" s="1" t="n">
        <v>97</v>
      </c>
      <c r="CX2" s="1" t="n">
        <v>98</v>
      </c>
      <c r="CY2" s="1" t="n">
        <v>99</v>
      </c>
      <c r="CZ2" s="1" t="n">
        <v>100</v>
      </c>
      <c r="DA2" s="1" t="n">
        <v>101</v>
      </c>
      <c r="DB2" s="1" t="n">
        <v>102</v>
      </c>
      <c r="DC2" s="1" t="n">
        <v>103</v>
      </c>
      <c r="DD2" s="1" t="n">
        <v>104</v>
      </c>
      <c r="DE2" s="1" t="n">
        <v>105</v>
      </c>
      <c r="DF2" s="1" t="n">
        <v>106</v>
      </c>
      <c r="DG2" s="1" t="n">
        <v>107</v>
      </c>
      <c r="DH2" s="1" t="n">
        <v>108</v>
      </c>
      <c r="DI2" s="1" t="n">
        <v>109</v>
      </c>
      <c r="DJ2" s="1" t="n">
        <v>110</v>
      </c>
      <c r="DK2" s="1" t="n">
        <v>111</v>
      </c>
      <c r="DL2" s="1" t="n">
        <v>112</v>
      </c>
      <c r="DM2" s="1" t="n">
        <v>113</v>
      </c>
      <c r="DN2" s="1" t="n">
        <v>114</v>
      </c>
      <c r="DO2" s="1" t="n">
        <v>115</v>
      </c>
      <c r="DP2" s="1" t="n">
        <v>116</v>
      </c>
      <c r="DQ2" s="1" t="n">
        <v>117</v>
      </c>
      <c r="DR2" s="1" t="n">
        <v>118</v>
      </c>
      <c r="DS2" s="27" t="n">
        <v>119</v>
      </c>
      <c r="DT2" s="1" t="n">
        <v>120</v>
      </c>
      <c r="DU2" s="1" t="n">
        <v>121</v>
      </c>
      <c r="DV2" s="1" t="n">
        <v>122</v>
      </c>
      <c r="DW2" s="1" t="n">
        <v>123</v>
      </c>
      <c r="DX2" s="1" t="n">
        <v>124</v>
      </c>
      <c r="DY2" s="1" t="n">
        <v>125</v>
      </c>
      <c r="DZ2" s="1" t="n">
        <v>126</v>
      </c>
      <c r="EA2" s="1" t="n">
        <v>127</v>
      </c>
      <c r="EB2" s="1" t="n">
        <v>128</v>
      </c>
      <c r="EC2" s="1" t="n">
        <v>129</v>
      </c>
      <c r="ED2" s="1" t="n">
        <v>130</v>
      </c>
      <c r="EE2" s="1" t="n">
        <v>131</v>
      </c>
      <c r="EF2" s="1" t="n">
        <v>132</v>
      </c>
      <c r="EG2" s="1" t="n">
        <v>133</v>
      </c>
      <c r="EH2" s="1" t="n">
        <v>134</v>
      </c>
      <c r="EI2" s="1" t="n">
        <v>135</v>
      </c>
      <c r="EJ2" s="1" t="n">
        <v>136</v>
      </c>
      <c r="EK2" s="1" t="n">
        <v>137</v>
      </c>
      <c r="EL2" s="1" t="n">
        <v>138</v>
      </c>
      <c r="EM2" s="1" t="n">
        <v>139</v>
      </c>
      <c r="EN2" s="1" t="n">
        <v>140</v>
      </c>
      <c r="EO2" s="1" t="n">
        <v>141</v>
      </c>
      <c r="EP2" s="1" t="n">
        <v>142</v>
      </c>
      <c r="EQ2" s="1" t="n">
        <v>143</v>
      </c>
      <c r="ER2" s="1" t="n">
        <v>144</v>
      </c>
      <c r="ES2" s="1" t="n">
        <v>145</v>
      </c>
      <c r="ET2" s="1" t="n">
        <v>146</v>
      </c>
      <c r="EU2" s="1" t="n">
        <v>147</v>
      </c>
      <c r="EV2" s="1" t="n">
        <v>148</v>
      </c>
      <c r="EW2" s="1" t="n">
        <v>149</v>
      </c>
      <c r="EX2" s="1" t="n">
        <v>150</v>
      </c>
      <c r="EY2" s="1" t="n">
        <v>151</v>
      </c>
      <c r="EZ2" s="1" t="n">
        <v>152</v>
      </c>
      <c r="FA2" s="1" t="n">
        <v>153</v>
      </c>
      <c r="FB2" s="1" t="n">
        <v>154</v>
      </c>
      <c r="FC2" s="1" t="n">
        <v>155</v>
      </c>
      <c r="FD2" s="1" t="n">
        <v>156</v>
      </c>
    </row>
    <row r="3" s="2" customFormat="true" ht="15" hidden="false" customHeight="false" outlineLevel="0" collapsed="false">
      <c r="B3" s="28"/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53</v>
      </c>
      <c r="Y3" s="2" t="s">
        <v>54</v>
      </c>
      <c r="Z3" s="2" t="s">
        <v>48</v>
      </c>
      <c r="AA3" s="2" t="s">
        <v>49</v>
      </c>
      <c r="AB3" s="2" t="s">
        <v>50</v>
      </c>
      <c r="AC3" s="2" t="s">
        <v>51</v>
      </c>
      <c r="AD3" s="2" t="s">
        <v>52</v>
      </c>
      <c r="AE3" s="2" t="s">
        <v>53</v>
      </c>
      <c r="AF3" s="2" t="s">
        <v>54</v>
      </c>
      <c r="AG3" s="2" t="s">
        <v>48</v>
      </c>
      <c r="AH3" s="2" t="s">
        <v>49</v>
      </c>
      <c r="AI3" s="2" t="s">
        <v>50</v>
      </c>
      <c r="AJ3" s="2" t="s">
        <v>51</v>
      </c>
      <c r="AK3" s="2" t="s">
        <v>52</v>
      </c>
      <c r="AL3" s="2" t="s">
        <v>53</v>
      </c>
      <c r="AM3" s="2" t="s">
        <v>54</v>
      </c>
      <c r="AN3" s="2" t="s">
        <v>48</v>
      </c>
      <c r="AO3" s="2" t="s">
        <v>49</v>
      </c>
      <c r="AP3" s="2" t="s">
        <v>50</v>
      </c>
      <c r="AQ3" s="2" t="s">
        <v>51</v>
      </c>
      <c r="AR3" s="2" t="s">
        <v>52</v>
      </c>
      <c r="AS3" s="2" t="s">
        <v>53</v>
      </c>
      <c r="AT3" s="2" t="s">
        <v>54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48</v>
      </c>
      <c r="BC3" s="2" t="s">
        <v>49</v>
      </c>
      <c r="BD3" s="2" t="s">
        <v>50</v>
      </c>
      <c r="BE3" s="2" t="s">
        <v>51</v>
      </c>
      <c r="BF3" s="2" t="s">
        <v>52</v>
      </c>
      <c r="BG3" s="2" t="s">
        <v>53</v>
      </c>
      <c r="BH3" s="2" t="s">
        <v>54</v>
      </c>
      <c r="BI3" s="2" t="s">
        <v>48</v>
      </c>
      <c r="BJ3" s="2" t="s">
        <v>49</v>
      </c>
      <c r="BK3" s="2" t="s">
        <v>50</v>
      </c>
      <c r="BL3" s="2" t="s">
        <v>51</v>
      </c>
      <c r="BM3" s="2" t="s">
        <v>52</v>
      </c>
      <c r="BN3" s="2" t="s">
        <v>53</v>
      </c>
      <c r="BO3" s="2" t="s">
        <v>54</v>
      </c>
      <c r="BP3" s="2" t="s">
        <v>48</v>
      </c>
      <c r="BQ3" s="2" t="s">
        <v>49</v>
      </c>
      <c r="BR3" s="2" t="s">
        <v>50</v>
      </c>
      <c r="BS3" s="2" t="s">
        <v>51</v>
      </c>
      <c r="BT3" s="2" t="s">
        <v>52</v>
      </c>
      <c r="BU3" s="2" t="s">
        <v>53</v>
      </c>
      <c r="BV3" s="2" t="s">
        <v>54</v>
      </c>
      <c r="BW3" s="2" t="s">
        <v>48</v>
      </c>
      <c r="BX3" s="2" t="s">
        <v>49</v>
      </c>
      <c r="BY3" s="2" t="s">
        <v>50</v>
      </c>
      <c r="BZ3" s="2" t="s">
        <v>51</v>
      </c>
      <c r="CA3" s="2" t="s">
        <v>52</v>
      </c>
      <c r="CB3" s="2" t="s">
        <v>53</v>
      </c>
      <c r="CC3" s="2" t="s">
        <v>54</v>
      </c>
      <c r="CD3" s="2" t="s">
        <v>48</v>
      </c>
      <c r="CE3" s="2" t="s">
        <v>49</v>
      </c>
      <c r="CF3" s="2" t="s">
        <v>50</v>
      </c>
      <c r="CG3" s="2" t="s">
        <v>51</v>
      </c>
      <c r="CH3" s="2" t="s">
        <v>52</v>
      </c>
      <c r="CI3" s="2" t="s">
        <v>53</v>
      </c>
      <c r="CJ3" s="2" t="s">
        <v>54</v>
      </c>
      <c r="CK3" s="2" t="s">
        <v>48</v>
      </c>
      <c r="CL3" s="2" t="s">
        <v>49</v>
      </c>
      <c r="CM3" s="2" t="s">
        <v>50</v>
      </c>
      <c r="CN3" s="2" t="s">
        <v>51</v>
      </c>
      <c r="CO3" s="2" t="s">
        <v>52</v>
      </c>
      <c r="CP3" s="2" t="s">
        <v>53</v>
      </c>
      <c r="CQ3" s="2" t="s">
        <v>54</v>
      </c>
      <c r="CR3" s="2" t="s">
        <v>48</v>
      </c>
      <c r="CS3" s="2" t="s">
        <v>49</v>
      </c>
      <c r="CT3" s="2" t="s">
        <v>50</v>
      </c>
      <c r="CU3" s="2" t="s">
        <v>51</v>
      </c>
      <c r="CV3" s="2" t="s">
        <v>52</v>
      </c>
      <c r="CW3" s="2" t="s">
        <v>53</v>
      </c>
      <c r="CX3" s="2" t="s">
        <v>54</v>
      </c>
      <c r="CY3" s="2" t="s">
        <v>48</v>
      </c>
      <c r="CZ3" s="2" t="s">
        <v>49</v>
      </c>
      <c r="DA3" s="2" t="s">
        <v>50</v>
      </c>
      <c r="DB3" s="2" t="s">
        <v>51</v>
      </c>
      <c r="DC3" s="2" t="s">
        <v>52</v>
      </c>
      <c r="DD3" s="2" t="s">
        <v>53</v>
      </c>
      <c r="DE3" s="2" t="s">
        <v>54</v>
      </c>
      <c r="DF3" s="2" t="s">
        <v>48</v>
      </c>
      <c r="DG3" s="2" t="s">
        <v>49</v>
      </c>
      <c r="DH3" s="2" t="s">
        <v>50</v>
      </c>
      <c r="DI3" s="2" t="s">
        <v>51</v>
      </c>
      <c r="DJ3" s="2" t="s">
        <v>52</v>
      </c>
      <c r="DK3" s="2" t="s">
        <v>53</v>
      </c>
      <c r="DL3" s="2" t="s">
        <v>54</v>
      </c>
      <c r="DM3" s="2" t="s">
        <v>48</v>
      </c>
      <c r="DN3" s="2" t="s">
        <v>49</v>
      </c>
      <c r="DO3" s="2" t="s">
        <v>50</v>
      </c>
      <c r="DP3" s="2" t="s">
        <v>51</v>
      </c>
      <c r="DQ3" s="2" t="s">
        <v>52</v>
      </c>
      <c r="DR3" s="2" t="s">
        <v>53</v>
      </c>
      <c r="DS3" s="29" t="s">
        <v>54</v>
      </c>
      <c r="DT3" s="2" t="s">
        <v>48</v>
      </c>
      <c r="DU3" s="2" t="s">
        <v>49</v>
      </c>
      <c r="DV3" s="2" t="s">
        <v>50</v>
      </c>
      <c r="DW3" s="2" t="s">
        <v>51</v>
      </c>
      <c r="DX3" s="2" t="s">
        <v>52</v>
      </c>
      <c r="DY3" s="2" t="s">
        <v>53</v>
      </c>
      <c r="DZ3" s="2" t="s">
        <v>54</v>
      </c>
      <c r="EA3" s="2" t="s">
        <v>48</v>
      </c>
      <c r="EB3" s="2" t="s">
        <v>49</v>
      </c>
      <c r="EC3" s="2" t="s">
        <v>50</v>
      </c>
      <c r="ED3" s="2" t="s">
        <v>51</v>
      </c>
      <c r="EE3" s="2" t="s">
        <v>52</v>
      </c>
      <c r="EF3" s="2" t="s">
        <v>53</v>
      </c>
      <c r="EG3" s="2" t="s">
        <v>54</v>
      </c>
      <c r="EH3" s="2" t="s">
        <v>48</v>
      </c>
      <c r="EI3" s="2" t="s">
        <v>49</v>
      </c>
      <c r="EJ3" s="2" t="s">
        <v>50</v>
      </c>
      <c r="EK3" s="2" t="s">
        <v>51</v>
      </c>
      <c r="EL3" s="2" t="s">
        <v>52</v>
      </c>
      <c r="EM3" s="2" t="s">
        <v>53</v>
      </c>
      <c r="EN3" s="2" t="s">
        <v>54</v>
      </c>
      <c r="EO3" s="2" t="s">
        <v>48</v>
      </c>
      <c r="EP3" s="2" t="s">
        <v>49</v>
      </c>
      <c r="EQ3" s="2" t="s">
        <v>50</v>
      </c>
      <c r="ER3" s="2" t="s">
        <v>51</v>
      </c>
      <c r="ES3" s="2" t="s">
        <v>52</v>
      </c>
      <c r="ET3" s="2" t="s">
        <v>53</v>
      </c>
      <c r="EU3" s="2" t="s">
        <v>54</v>
      </c>
      <c r="EV3" s="2" t="s">
        <v>48</v>
      </c>
      <c r="EW3" s="2" t="s">
        <v>49</v>
      </c>
      <c r="EX3" s="2" t="s">
        <v>50</v>
      </c>
      <c r="EY3" s="2" t="s">
        <v>51</v>
      </c>
      <c r="EZ3" s="2" t="s">
        <v>52</v>
      </c>
      <c r="FA3" s="2" t="s">
        <v>53</v>
      </c>
      <c r="FB3" s="2" t="s">
        <v>54</v>
      </c>
      <c r="FC3" s="2" t="s">
        <v>48</v>
      </c>
      <c r="FD3" s="2" t="s">
        <v>49</v>
      </c>
    </row>
    <row r="4" customFormat="false" ht="15" hidden="false" customHeight="false" outlineLevel="0" collapsed="false">
      <c r="E4" s="30" t="n">
        <v>45565</v>
      </c>
      <c r="F4" s="30" t="n">
        <v>45566</v>
      </c>
      <c r="G4" s="30" t="n">
        <v>45567</v>
      </c>
      <c r="H4" s="30" t="n">
        <v>45568</v>
      </c>
      <c r="I4" s="30" t="n">
        <v>45569</v>
      </c>
      <c r="J4" s="30" t="n">
        <v>45570</v>
      </c>
      <c r="K4" s="30" t="n">
        <v>45571</v>
      </c>
      <c r="L4" s="30" t="n">
        <v>45572</v>
      </c>
      <c r="M4" s="30" t="n">
        <v>45573</v>
      </c>
      <c r="N4" s="30" t="n">
        <v>45574</v>
      </c>
      <c r="O4" s="30" t="n">
        <v>45575</v>
      </c>
      <c r="P4" s="30" t="n">
        <v>45576</v>
      </c>
      <c r="Q4" s="30" t="n">
        <v>45577</v>
      </c>
      <c r="R4" s="30" t="n">
        <v>45578</v>
      </c>
      <c r="S4" s="30" t="n">
        <v>45579</v>
      </c>
      <c r="T4" s="30" t="n">
        <v>45580</v>
      </c>
      <c r="U4" s="30" t="n">
        <v>45581</v>
      </c>
      <c r="V4" s="30" t="n">
        <v>45582</v>
      </c>
      <c r="W4" s="30" t="n">
        <v>45583</v>
      </c>
      <c r="X4" s="30" t="n">
        <v>45584</v>
      </c>
      <c r="Y4" s="30" t="n">
        <v>45585</v>
      </c>
      <c r="Z4" s="30" t="n">
        <v>45586</v>
      </c>
      <c r="AA4" s="30" t="n">
        <v>45587</v>
      </c>
      <c r="AB4" s="30" t="n">
        <v>45588</v>
      </c>
      <c r="AC4" s="30" t="n">
        <v>45589</v>
      </c>
      <c r="AD4" s="30" t="n">
        <v>45590</v>
      </c>
      <c r="AE4" s="30" t="n">
        <v>45591</v>
      </c>
      <c r="AF4" s="30" t="n">
        <v>45592</v>
      </c>
      <c r="AG4" s="30" t="n">
        <v>45593</v>
      </c>
      <c r="AH4" s="30" t="n">
        <v>45594</v>
      </c>
      <c r="AI4" s="30" t="n">
        <v>45595</v>
      </c>
      <c r="AJ4" s="30" t="n">
        <v>45596</v>
      </c>
      <c r="AK4" s="30" t="n">
        <v>45597</v>
      </c>
      <c r="AL4" s="30" t="n">
        <v>45598</v>
      </c>
      <c r="AM4" s="30" t="n">
        <v>45599</v>
      </c>
      <c r="AN4" s="30" t="n">
        <v>45600</v>
      </c>
      <c r="AO4" s="30" t="n">
        <v>45601</v>
      </c>
      <c r="AP4" s="30" t="n">
        <v>45602</v>
      </c>
      <c r="AQ4" s="30" t="n">
        <v>45603</v>
      </c>
      <c r="AR4" s="30" t="n">
        <v>45604</v>
      </c>
      <c r="AS4" s="30" t="n">
        <v>45605</v>
      </c>
      <c r="AT4" s="30" t="n">
        <v>45606</v>
      </c>
      <c r="AU4" s="30" t="n">
        <v>45607</v>
      </c>
      <c r="AV4" s="30" t="n">
        <v>45608</v>
      </c>
      <c r="AW4" s="30" t="n">
        <v>45609</v>
      </c>
      <c r="AX4" s="30" t="n">
        <v>45610</v>
      </c>
      <c r="AY4" s="30" t="n">
        <v>45611</v>
      </c>
      <c r="AZ4" s="30" t="n">
        <v>45612</v>
      </c>
      <c r="BA4" s="30" t="n">
        <v>45613</v>
      </c>
      <c r="BB4" s="30" t="n">
        <v>45614</v>
      </c>
      <c r="BC4" s="30" t="n">
        <v>45615</v>
      </c>
      <c r="BD4" s="30" t="n">
        <v>45616</v>
      </c>
      <c r="BE4" s="30" t="n">
        <v>45617</v>
      </c>
      <c r="BF4" s="30" t="n">
        <v>45618</v>
      </c>
      <c r="BG4" s="30" t="n">
        <v>45619</v>
      </c>
      <c r="BH4" s="30" t="n">
        <v>45620</v>
      </c>
      <c r="BI4" s="30" t="n">
        <v>45621</v>
      </c>
      <c r="BJ4" s="30" t="n">
        <v>45622</v>
      </c>
      <c r="BK4" s="30" t="n">
        <v>45623</v>
      </c>
      <c r="BL4" s="30" t="n">
        <v>45624</v>
      </c>
      <c r="BM4" s="30" t="n">
        <v>45625</v>
      </c>
      <c r="BN4" s="30" t="n">
        <v>45626</v>
      </c>
      <c r="BO4" s="30" t="n">
        <v>45627</v>
      </c>
      <c r="BP4" s="30" t="n">
        <v>45628</v>
      </c>
      <c r="BQ4" s="30" t="n">
        <v>45629</v>
      </c>
      <c r="BR4" s="30" t="n">
        <v>45630</v>
      </c>
      <c r="BS4" s="30" t="n">
        <v>45631</v>
      </c>
      <c r="BT4" s="30" t="n">
        <v>45632</v>
      </c>
      <c r="BU4" s="30" t="n">
        <v>45633</v>
      </c>
      <c r="BV4" s="30" t="n">
        <v>45634</v>
      </c>
      <c r="BW4" s="30" t="n">
        <v>45635</v>
      </c>
      <c r="BX4" s="30" t="n">
        <v>45636</v>
      </c>
      <c r="BY4" s="30" t="n">
        <v>45637</v>
      </c>
      <c r="BZ4" s="30" t="n">
        <v>45638</v>
      </c>
      <c r="CA4" s="30" t="n">
        <v>45639</v>
      </c>
      <c r="CB4" s="30" t="n">
        <v>45640</v>
      </c>
      <c r="CC4" s="30" t="n">
        <v>45641</v>
      </c>
      <c r="CD4" s="30" t="n">
        <v>45642</v>
      </c>
      <c r="CE4" s="30" t="n">
        <v>45643</v>
      </c>
      <c r="CF4" s="30" t="n">
        <v>45644</v>
      </c>
      <c r="CG4" s="30" t="n">
        <v>45645</v>
      </c>
      <c r="CH4" s="30" t="n">
        <v>45646</v>
      </c>
      <c r="CI4" s="30" t="n">
        <v>45647</v>
      </c>
      <c r="CJ4" s="30" t="n">
        <v>45648</v>
      </c>
      <c r="CK4" s="30" t="n">
        <v>45649</v>
      </c>
      <c r="CL4" s="30" t="n">
        <v>45650</v>
      </c>
      <c r="CM4" s="30" t="n">
        <v>45651</v>
      </c>
      <c r="CN4" s="30" t="n">
        <v>45652</v>
      </c>
      <c r="CO4" s="30" t="n">
        <v>45653</v>
      </c>
      <c r="CP4" s="30" t="n">
        <v>45654</v>
      </c>
      <c r="CQ4" s="30" t="n">
        <v>45655</v>
      </c>
      <c r="CR4" s="30" t="n">
        <v>45656</v>
      </c>
      <c r="CS4" s="30" t="n">
        <v>45657</v>
      </c>
      <c r="CT4" s="30" t="n">
        <v>45658</v>
      </c>
      <c r="CU4" s="30" t="n">
        <v>45659</v>
      </c>
      <c r="CV4" s="30" t="n">
        <v>45660</v>
      </c>
      <c r="CW4" s="30" t="n">
        <v>45661</v>
      </c>
      <c r="CX4" s="30" t="n">
        <v>45662</v>
      </c>
      <c r="CY4" s="30" t="n">
        <v>45663</v>
      </c>
      <c r="CZ4" s="30" t="n">
        <v>45664</v>
      </c>
      <c r="DA4" s="30" t="n">
        <v>45665</v>
      </c>
      <c r="DB4" s="30" t="n">
        <v>45666</v>
      </c>
      <c r="DC4" s="30" t="n">
        <v>45667</v>
      </c>
      <c r="DD4" s="30" t="n">
        <v>45668</v>
      </c>
      <c r="DE4" s="30" t="n">
        <v>45669</v>
      </c>
      <c r="DF4" s="30" t="n">
        <v>45670</v>
      </c>
      <c r="DG4" s="30" t="n">
        <v>45671</v>
      </c>
      <c r="DH4" s="30" t="n">
        <v>45672</v>
      </c>
      <c r="DI4" s="30" t="n">
        <v>45673</v>
      </c>
      <c r="DJ4" s="30" t="n">
        <v>45674</v>
      </c>
      <c r="DK4" s="30" t="n">
        <v>45675</v>
      </c>
      <c r="DL4" s="30" t="n">
        <v>45676</v>
      </c>
      <c r="DM4" s="30" t="n">
        <v>45677</v>
      </c>
      <c r="DN4" s="30" t="n">
        <v>45678</v>
      </c>
      <c r="DO4" s="30" t="n">
        <v>45679</v>
      </c>
      <c r="DP4" s="30" t="n">
        <v>45680</v>
      </c>
      <c r="DQ4" s="30" t="n">
        <v>45681</v>
      </c>
      <c r="DR4" s="30" t="n">
        <v>45682</v>
      </c>
      <c r="DS4" s="31" t="n">
        <v>45683</v>
      </c>
      <c r="DT4" s="30" t="n">
        <v>45684</v>
      </c>
      <c r="DU4" s="30" t="n">
        <v>45685</v>
      </c>
      <c r="DV4" s="30" t="n">
        <v>45686</v>
      </c>
      <c r="DW4" s="30" t="n">
        <v>45687</v>
      </c>
      <c r="DX4" s="30" t="n">
        <v>45688</v>
      </c>
      <c r="DY4" s="30" t="n">
        <v>45689</v>
      </c>
      <c r="DZ4" s="30" t="n">
        <v>45690</v>
      </c>
      <c r="EA4" s="30" t="n">
        <v>45691</v>
      </c>
      <c r="EB4" s="30" t="n">
        <v>45692</v>
      </c>
      <c r="EC4" s="30" t="n">
        <v>45693</v>
      </c>
      <c r="ED4" s="30" t="n">
        <v>45694</v>
      </c>
      <c r="EE4" s="30" t="n">
        <v>45695</v>
      </c>
      <c r="EF4" s="30" t="n">
        <v>45696</v>
      </c>
      <c r="EG4" s="30" t="n">
        <v>45697</v>
      </c>
      <c r="EH4" s="30" t="n">
        <v>45698</v>
      </c>
      <c r="EI4" s="30" t="n">
        <v>45699</v>
      </c>
      <c r="EJ4" s="30" t="n">
        <v>45700</v>
      </c>
      <c r="EK4" s="30" t="n">
        <v>45701</v>
      </c>
      <c r="EL4" s="30" t="n">
        <v>45702</v>
      </c>
      <c r="EM4" s="30" t="n">
        <v>45703</v>
      </c>
      <c r="EN4" s="30" t="n">
        <v>45704</v>
      </c>
      <c r="EO4" s="30" t="n">
        <v>45705</v>
      </c>
      <c r="EP4" s="30" t="n">
        <v>45706</v>
      </c>
      <c r="EQ4" s="30" t="n">
        <v>45707</v>
      </c>
      <c r="ER4" s="30" t="n">
        <v>45708</v>
      </c>
      <c r="ES4" s="30" t="n">
        <v>45709</v>
      </c>
      <c r="ET4" s="30" t="n">
        <v>45710</v>
      </c>
      <c r="EU4" s="30" t="n">
        <v>45711</v>
      </c>
      <c r="EV4" s="30" t="n">
        <v>45712</v>
      </c>
      <c r="EW4" s="30" t="n">
        <v>45713</v>
      </c>
      <c r="EX4" s="30" t="n">
        <v>45714</v>
      </c>
      <c r="EY4" s="30" t="n">
        <v>45715</v>
      </c>
      <c r="EZ4" s="30" t="n">
        <v>45716</v>
      </c>
      <c r="FA4" s="30" t="n">
        <v>45717</v>
      </c>
      <c r="FB4" s="30" t="n">
        <v>45718</v>
      </c>
      <c r="FC4" s="30" t="n">
        <v>45719</v>
      </c>
      <c r="FD4" s="30" t="n">
        <v>45720</v>
      </c>
    </row>
    <row r="5" customFormat="false" ht="46.25" hidden="false" customHeight="false" outlineLevel="0" collapsed="false">
      <c r="A5" s="2" t="s">
        <v>55</v>
      </c>
      <c r="B5" s="28" t="s">
        <v>56</v>
      </c>
      <c r="C5" s="2" t="s">
        <v>57</v>
      </c>
      <c r="D5" s="28" t="s">
        <v>58</v>
      </c>
      <c r="E5" s="30"/>
      <c r="DS5" s="32" t="s">
        <v>59</v>
      </c>
    </row>
    <row r="6" customFormat="false" ht="15" hidden="false" customHeight="false" outlineLevel="0" collapsed="false">
      <c r="A6" s="33" t="s">
        <v>13</v>
      </c>
      <c r="C6" s="33" t="s">
        <v>29</v>
      </c>
      <c r="D6" s="1" t="n">
        <f aca="false">SUM(E6:EI6)</f>
        <v>21</v>
      </c>
      <c r="E6" s="34" t="n">
        <v>7</v>
      </c>
      <c r="F6" s="34" t="n">
        <v>7</v>
      </c>
      <c r="G6" s="34" t="n">
        <v>7</v>
      </c>
      <c r="DS6" s="27"/>
    </row>
    <row r="7" customFormat="false" ht="31.3" hidden="false" customHeight="false" outlineLevel="0" collapsed="false">
      <c r="A7" s="33" t="s">
        <v>17</v>
      </c>
      <c r="B7" s="26" t="s">
        <v>60</v>
      </c>
      <c r="C7" s="33" t="s">
        <v>29</v>
      </c>
      <c r="D7" s="1" t="n">
        <f aca="false">SUM(E7:EI7)</f>
        <v>7</v>
      </c>
      <c r="H7" s="34" t="n">
        <v>7</v>
      </c>
      <c r="DS7" s="27"/>
    </row>
    <row r="8" customFormat="false" ht="16.4" hidden="false" customHeight="false" outlineLevel="0" collapsed="false">
      <c r="A8" s="33" t="s">
        <v>31</v>
      </c>
      <c r="B8" s="26" t="s">
        <v>61</v>
      </c>
      <c r="C8" s="33" t="s">
        <v>25</v>
      </c>
      <c r="D8" s="1" t="n">
        <f aca="false">SUM(E8:EI8)</f>
        <v>49</v>
      </c>
      <c r="E8" s="35" t="n">
        <v>7</v>
      </c>
      <c r="F8" s="35" t="n">
        <v>7</v>
      </c>
      <c r="G8" s="35" t="n">
        <v>7</v>
      </c>
      <c r="H8" s="35" t="n">
        <v>7</v>
      </c>
      <c r="I8" s="35" t="n">
        <v>7</v>
      </c>
      <c r="L8" s="35" t="n">
        <v>7</v>
      </c>
      <c r="M8" s="35" t="n">
        <v>7</v>
      </c>
      <c r="DS8" s="27"/>
    </row>
    <row r="9" customFormat="false" ht="16.4" hidden="false" customHeight="false" outlineLevel="0" collapsed="false">
      <c r="A9" s="33" t="s">
        <v>38</v>
      </c>
      <c r="B9" s="26" t="s">
        <v>62</v>
      </c>
      <c r="C9" s="33" t="s">
        <v>25</v>
      </c>
      <c r="D9" s="1" t="n">
        <f aca="false">SUM(E9:EI9)</f>
        <v>7</v>
      </c>
      <c r="N9" s="35" t="n">
        <v>7</v>
      </c>
      <c r="DS9" s="27"/>
    </row>
    <row r="10" customFormat="false" ht="16.4" hidden="false" customHeight="false" outlineLevel="0" collapsed="false">
      <c r="A10" s="33" t="s">
        <v>43</v>
      </c>
      <c r="B10" s="26" t="s">
        <v>63</v>
      </c>
      <c r="C10" s="33" t="s">
        <v>25</v>
      </c>
      <c r="D10" s="1" t="n">
        <f aca="false">SUM(E10:EI10)</f>
        <v>7</v>
      </c>
      <c r="O10" s="35" t="n">
        <v>7</v>
      </c>
      <c r="DS10" s="27"/>
    </row>
    <row r="11" customFormat="false" ht="16.4" hidden="false" customHeight="false" outlineLevel="0" collapsed="false">
      <c r="A11" s="33" t="s">
        <v>31</v>
      </c>
      <c r="B11" s="26" t="s">
        <v>64</v>
      </c>
      <c r="C11" s="33" t="s">
        <v>25</v>
      </c>
      <c r="D11" s="1" t="n">
        <f aca="false">SUM(E11:EI11)</f>
        <v>49</v>
      </c>
      <c r="P11" s="35" t="n">
        <v>7</v>
      </c>
      <c r="S11" s="35" t="n">
        <v>7</v>
      </c>
      <c r="T11" s="35" t="n">
        <v>7</v>
      </c>
      <c r="U11" s="35" t="n">
        <v>7</v>
      </c>
      <c r="V11" s="35" t="n">
        <v>7</v>
      </c>
      <c r="W11" s="35" t="n">
        <v>7</v>
      </c>
      <c r="Z11" s="35" t="n">
        <v>7</v>
      </c>
      <c r="DS11" s="27"/>
    </row>
    <row r="12" customFormat="false" ht="16.4" hidden="false" customHeight="false" outlineLevel="0" collapsed="false">
      <c r="A12" s="33" t="s">
        <v>38</v>
      </c>
      <c r="B12" s="26" t="s">
        <v>65</v>
      </c>
      <c r="C12" s="33" t="s">
        <v>25</v>
      </c>
      <c r="D12" s="1" t="n">
        <f aca="false">SUM(E12:EI12)</f>
        <v>7</v>
      </c>
      <c r="AA12" s="35" t="n">
        <v>7</v>
      </c>
      <c r="DS12" s="27"/>
    </row>
    <row r="13" customFormat="false" ht="16.4" hidden="false" customHeight="false" outlineLevel="0" collapsed="false">
      <c r="A13" s="33" t="s">
        <v>43</v>
      </c>
      <c r="B13" s="26" t="s">
        <v>66</v>
      </c>
      <c r="C13" s="33" t="s">
        <v>25</v>
      </c>
      <c r="D13" s="1" t="n">
        <f aca="false">SUM(E13:EI13)</f>
        <v>7</v>
      </c>
      <c r="AB13" s="35" t="n">
        <v>7</v>
      </c>
      <c r="DS13" s="27"/>
    </row>
    <row r="14" customFormat="false" ht="16.4" hidden="false" customHeight="false" outlineLevel="0" collapsed="false">
      <c r="A14" s="33" t="s">
        <v>31</v>
      </c>
      <c r="B14" s="26" t="s">
        <v>67</v>
      </c>
      <c r="C14" s="33" t="s">
        <v>25</v>
      </c>
      <c r="D14" s="1" t="n">
        <f aca="false">SUM(E14:EI14)</f>
        <v>49</v>
      </c>
      <c r="AC14" s="35" t="n">
        <v>7</v>
      </c>
      <c r="AD14" s="35" t="n">
        <v>7</v>
      </c>
      <c r="AG14" s="35" t="n">
        <v>7</v>
      </c>
      <c r="AH14" s="35" t="n">
        <v>7</v>
      </c>
      <c r="AI14" s="35" t="n">
        <v>7</v>
      </c>
      <c r="AJ14" s="35" t="n">
        <v>7</v>
      </c>
      <c r="AK14" s="35" t="n">
        <v>7</v>
      </c>
      <c r="DS14" s="27"/>
    </row>
    <row r="15" customFormat="false" ht="16.4" hidden="false" customHeight="false" outlineLevel="0" collapsed="false">
      <c r="A15" s="33" t="s">
        <v>38</v>
      </c>
      <c r="B15" s="26" t="s">
        <v>68</v>
      </c>
      <c r="C15" s="33" t="s">
        <v>25</v>
      </c>
      <c r="D15" s="1" t="n">
        <f aca="false">SUM(E15:EI15)</f>
        <v>7</v>
      </c>
      <c r="AN15" s="35" t="n">
        <v>7</v>
      </c>
      <c r="DS15" s="27"/>
    </row>
    <row r="16" customFormat="false" ht="16.4" hidden="false" customHeight="false" outlineLevel="0" collapsed="false">
      <c r="A16" s="33" t="s">
        <v>43</v>
      </c>
      <c r="B16" s="26" t="s">
        <v>69</v>
      </c>
      <c r="C16" s="33" t="s">
        <v>25</v>
      </c>
      <c r="D16" s="1" t="n">
        <f aca="false">SUM(E16:EI16)</f>
        <v>7</v>
      </c>
      <c r="AO16" s="35" t="n">
        <v>7</v>
      </c>
      <c r="DS16" s="27"/>
    </row>
    <row r="17" customFormat="false" ht="16.4" hidden="false" customHeight="false" outlineLevel="0" collapsed="false">
      <c r="A17" s="33" t="s">
        <v>21</v>
      </c>
      <c r="B17" s="26" t="s">
        <v>61</v>
      </c>
      <c r="C17" s="33" t="s">
        <v>15</v>
      </c>
      <c r="D17" s="1" t="n">
        <f aca="false">SUM(E17:EI17)</f>
        <v>35</v>
      </c>
      <c r="E17" s="36" t="n">
        <v>7</v>
      </c>
      <c r="F17" s="36" t="n">
        <v>7</v>
      </c>
      <c r="G17" s="36" t="n">
        <v>7</v>
      </c>
      <c r="H17" s="36" t="n">
        <v>7</v>
      </c>
      <c r="I17" s="36" t="n">
        <v>7</v>
      </c>
      <c r="DS17" s="27"/>
    </row>
    <row r="18" customFormat="false" ht="16.4" hidden="false" customHeight="false" outlineLevel="0" collapsed="false">
      <c r="A18" s="33" t="s">
        <v>38</v>
      </c>
      <c r="B18" s="26" t="s">
        <v>70</v>
      </c>
      <c r="C18" s="33" t="s">
        <v>15</v>
      </c>
      <c r="D18" s="1" t="n">
        <f aca="false">SUM(E18:EI18)</f>
        <v>7</v>
      </c>
      <c r="L18" s="36" t="n">
        <v>7</v>
      </c>
      <c r="DS18" s="27"/>
    </row>
    <row r="19" customFormat="false" ht="16.4" hidden="false" customHeight="false" outlineLevel="0" collapsed="false">
      <c r="A19" s="33" t="s">
        <v>43</v>
      </c>
      <c r="B19" s="26" t="s">
        <v>71</v>
      </c>
      <c r="C19" s="33" t="s">
        <v>15</v>
      </c>
      <c r="D19" s="1" t="n">
        <f aca="false">SUM(E19:EI19)</f>
        <v>7</v>
      </c>
      <c r="M19" s="36" t="n">
        <v>7</v>
      </c>
      <c r="DS19" s="27"/>
    </row>
    <row r="20" customFormat="false" ht="16.4" hidden="false" customHeight="false" outlineLevel="0" collapsed="false">
      <c r="A20" s="33" t="s">
        <v>21</v>
      </c>
      <c r="B20" s="26" t="s">
        <v>64</v>
      </c>
      <c r="C20" s="33" t="s">
        <v>15</v>
      </c>
      <c r="D20" s="1" t="n">
        <f aca="false">SUM(E20:EI20)</f>
        <v>42</v>
      </c>
      <c r="N20" s="36" t="n">
        <v>7</v>
      </c>
      <c r="O20" s="36" t="n">
        <v>7</v>
      </c>
      <c r="P20" s="36" t="n">
        <v>7</v>
      </c>
      <c r="S20" s="36" t="n">
        <v>7</v>
      </c>
      <c r="T20" s="36" t="n">
        <v>7</v>
      </c>
      <c r="U20" s="36" t="n">
        <v>7</v>
      </c>
      <c r="DS20" s="27"/>
    </row>
    <row r="21" customFormat="false" ht="16.4" hidden="false" customHeight="false" outlineLevel="0" collapsed="false">
      <c r="A21" s="33" t="s">
        <v>38</v>
      </c>
      <c r="B21" s="26" t="s">
        <v>72</v>
      </c>
      <c r="C21" s="33" t="s">
        <v>15</v>
      </c>
      <c r="D21" s="1" t="n">
        <f aca="false">SUM(E21:EI21)</f>
        <v>7</v>
      </c>
      <c r="V21" s="36" t="n">
        <v>7</v>
      </c>
      <c r="DS21" s="27"/>
    </row>
    <row r="22" customFormat="false" ht="16.4" hidden="false" customHeight="false" outlineLevel="0" collapsed="false">
      <c r="A22" s="33" t="s">
        <v>43</v>
      </c>
      <c r="B22" s="26" t="s">
        <v>73</v>
      </c>
      <c r="C22" s="33" t="s">
        <v>15</v>
      </c>
      <c r="D22" s="1" t="n">
        <f aca="false">SUM(E22:EI22)</f>
        <v>7</v>
      </c>
      <c r="W22" s="36" t="n">
        <v>7</v>
      </c>
      <c r="DS22" s="27"/>
    </row>
    <row r="23" customFormat="false" ht="16.4" hidden="false" customHeight="false" outlineLevel="0" collapsed="false">
      <c r="A23" s="33" t="s">
        <v>21</v>
      </c>
      <c r="B23" s="26" t="s">
        <v>67</v>
      </c>
      <c r="C23" s="33" t="s">
        <v>15</v>
      </c>
      <c r="D23" s="1" t="n">
        <f aca="false">SUM(E23:EI23)</f>
        <v>42</v>
      </c>
      <c r="Z23" s="36" t="n">
        <v>7</v>
      </c>
      <c r="AA23" s="36" t="n">
        <v>7</v>
      </c>
      <c r="AB23" s="36" t="n">
        <v>7</v>
      </c>
      <c r="AC23" s="36" t="n">
        <v>7</v>
      </c>
      <c r="AD23" s="36" t="n">
        <v>7</v>
      </c>
      <c r="AG23" s="36" t="n">
        <v>7</v>
      </c>
      <c r="DS23" s="27"/>
    </row>
    <row r="24" customFormat="false" ht="16.4" hidden="false" customHeight="false" outlineLevel="0" collapsed="false">
      <c r="A24" s="33" t="s">
        <v>38</v>
      </c>
      <c r="B24" s="26" t="s">
        <v>74</v>
      </c>
      <c r="C24" s="33" t="s">
        <v>15</v>
      </c>
      <c r="D24" s="1" t="n">
        <f aca="false">SUM(E24:EI24)</f>
        <v>7</v>
      </c>
      <c r="AH24" s="36" t="n">
        <v>7</v>
      </c>
      <c r="DS24" s="27"/>
    </row>
    <row r="25" customFormat="false" ht="16.4" hidden="false" customHeight="false" outlineLevel="0" collapsed="false">
      <c r="A25" s="33" t="s">
        <v>43</v>
      </c>
      <c r="B25" s="26" t="s">
        <v>75</v>
      </c>
      <c r="C25" s="33" t="s">
        <v>15</v>
      </c>
      <c r="D25" s="1" t="n">
        <f aca="false">SUM(E25:EI25)</f>
        <v>7</v>
      </c>
      <c r="AI25" s="36" t="n">
        <v>7</v>
      </c>
      <c r="DS25" s="27"/>
    </row>
    <row r="26" customFormat="false" ht="16.4" hidden="false" customHeight="false" outlineLevel="0" collapsed="false">
      <c r="A26" s="33" t="s">
        <v>39</v>
      </c>
      <c r="B26" s="26" t="s">
        <v>76</v>
      </c>
      <c r="C26" s="33" t="s">
        <v>15</v>
      </c>
      <c r="D26" s="1" t="n">
        <f aca="false">SUM(E26:EI26)</f>
        <v>28</v>
      </c>
      <c r="AN26" s="36" t="n">
        <v>7</v>
      </c>
      <c r="AO26" s="36" t="n">
        <v>7</v>
      </c>
      <c r="AP26" s="36" t="n">
        <v>7</v>
      </c>
      <c r="AQ26" s="36" t="n">
        <v>7</v>
      </c>
      <c r="DS26" s="27"/>
    </row>
    <row r="27" customFormat="false" ht="16.4" hidden="false" customHeight="false" outlineLevel="0" collapsed="false">
      <c r="A27" s="33" t="s">
        <v>41</v>
      </c>
      <c r="B27" s="26" t="s">
        <v>77</v>
      </c>
      <c r="C27" s="33" t="s">
        <v>15</v>
      </c>
      <c r="D27" s="1" t="n">
        <f aca="false">SUM(E27:EI27)</f>
        <v>14</v>
      </c>
      <c r="AR27" s="36" t="n">
        <v>7</v>
      </c>
      <c r="AU27" s="36" t="n">
        <v>7</v>
      </c>
      <c r="DS27" s="27"/>
    </row>
    <row r="28" customFormat="false" ht="16.4" hidden="false" customHeight="false" outlineLevel="0" collapsed="false">
      <c r="A28" s="33" t="s">
        <v>41</v>
      </c>
      <c r="B28" s="26" t="s">
        <v>77</v>
      </c>
      <c r="C28" s="33" t="s">
        <v>25</v>
      </c>
      <c r="D28" s="1" t="n">
        <f aca="false">SUM(E28:EI28)</f>
        <v>14</v>
      </c>
      <c r="AR28" s="35" t="n">
        <v>7</v>
      </c>
      <c r="AU28" s="35" t="n">
        <v>7</v>
      </c>
      <c r="DS28" s="27"/>
    </row>
    <row r="29" customFormat="false" ht="31.3" hidden="false" customHeight="false" outlineLevel="0" collapsed="false">
      <c r="A29" s="33" t="s">
        <v>36</v>
      </c>
      <c r="B29" s="26" t="s">
        <v>78</v>
      </c>
      <c r="C29" s="33" t="s">
        <v>22</v>
      </c>
      <c r="D29" s="1" t="n">
        <f aca="false">SUM(E29:EI29)</f>
        <v>14</v>
      </c>
      <c r="AR29" s="37" t="n">
        <v>7</v>
      </c>
      <c r="AU29" s="37" t="n">
        <v>7</v>
      </c>
      <c r="DS29" s="27"/>
    </row>
    <row r="30" customFormat="false" ht="16.4" hidden="false" customHeight="false" outlineLevel="0" collapsed="false">
      <c r="A30" s="33" t="s">
        <v>32</v>
      </c>
      <c r="B30" s="26" t="s">
        <v>61</v>
      </c>
      <c r="C30" s="33" t="s">
        <v>25</v>
      </c>
      <c r="D30" s="1" t="n">
        <f aca="false">SUM(E30:EI30)</f>
        <v>35</v>
      </c>
      <c r="AV30" s="35" t="n">
        <v>7</v>
      </c>
      <c r="AW30" s="35" t="n">
        <v>7</v>
      </c>
      <c r="AX30" s="35" t="n">
        <v>7</v>
      </c>
      <c r="AY30" s="35" t="n">
        <v>7</v>
      </c>
      <c r="BB30" s="35" t="n">
        <v>7</v>
      </c>
      <c r="DS30" s="27"/>
    </row>
    <row r="31" customFormat="false" ht="16.4" hidden="false" customHeight="false" outlineLevel="0" collapsed="false">
      <c r="A31" s="33" t="s">
        <v>38</v>
      </c>
      <c r="B31" s="26" t="s">
        <v>70</v>
      </c>
      <c r="C31" s="33" t="s">
        <v>25</v>
      </c>
      <c r="D31" s="1" t="n">
        <f aca="false">SUM(E31:EI31)</f>
        <v>7</v>
      </c>
      <c r="BC31" s="35" t="n">
        <v>7</v>
      </c>
      <c r="DS31" s="27"/>
    </row>
    <row r="32" customFormat="false" ht="16.4" hidden="false" customHeight="false" outlineLevel="0" collapsed="false">
      <c r="A32" s="33" t="s">
        <v>43</v>
      </c>
      <c r="B32" s="26" t="s">
        <v>79</v>
      </c>
      <c r="C32" s="33" t="s">
        <v>25</v>
      </c>
      <c r="D32" s="1" t="n">
        <f aca="false">SUM(E32:EI32)</f>
        <v>7</v>
      </c>
      <c r="BD32" s="35" t="n">
        <v>7</v>
      </c>
      <c r="DS32" s="27"/>
    </row>
    <row r="33" customFormat="false" ht="16.4" hidden="false" customHeight="false" outlineLevel="0" collapsed="false">
      <c r="A33" s="33" t="s">
        <v>32</v>
      </c>
      <c r="B33" s="26" t="s">
        <v>64</v>
      </c>
      <c r="C33" s="33" t="s">
        <v>25</v>
      </c>
      <c r="D33" s="1" t="n">
        <f aca="false">SUM(E33:EI33)</f>
        <v>35</v>
      </c>
      <c r="BE33" s="35" t="n">
        <v>7</v>
      </c>
      <c r="BF33" s="35" t="n">
        <v>7</v>
      </c>
      <c r="BI33" s="35" t="n">
        <v>7</v>
      </c>
      <c r="BJ33" s="35" t="n">
        <v>7</v>
      </c>
      <c r="BK33" s="35" t="n">
        <v>7</v>
      </c>
      <c r="DS33" s="27"/>
    </row>
    <row r="34" customFormat="false" ht="16.4" hidden="false" customHeight="false" outlineLevel="0" collapsed="false">
      <c r="A34" s="33" t="s">
        <v>38</v>
      </c>
      <c r="B34" s="26" t="s">
        <v>72</v>
      </c>
      <c r="C34" s="33" t="s">
        <v>25</v>
      </c>
      <c r="D34" s="1" t="n">
        <f aca="false">SUM(E34:EI34)</f>
        <v>7</v>
      </c>
      <c r="BL34" s="35" t="n">
        <v>7</v>
      </c>
      <c r="DS34" s="27"/>
    </row>
    <row r="35" customFormat="false" ht="16.4" hidden="false" customHeight="false" outlineLevel="0" collapsed="false">
      <c r="A35" s="33" t="s">
        <v>43</v>
      </c>
      <c r="B35" s="26" t="s">
        <v>80</v>
      </c>
      <c r="C35" s="33" t="s">
        <v>25</v>
      </c>
      <c r="D35" s="1" t="n">
        <f aca="false">SUM(E35:EI35)</f>
        <v>7</v>
      </c>
      <c r="BM35" s="35" t="n">
        <v>7</v>
      </c>
      <c r="DS35" s="27"/>
    </row>
    <row r="36" customFormat="false" ht="16.4" hidden="false" customHeight="false" outlineLevel="0" collapsed="false">
      <c r="A36" s="33" t="s">
        <v>32</v>
      </c>
      <c r="B36" s="26" t="s">
        <v>67</v>
      </c>
      <c r="C36" s="33" t="s">
        <v>25</v>
      </c>
      <c r="D36" s="1" t="n">
        <f aca="false">SUM(E36:EI36)</f>
        <v>35</v>
      </c>
      <c r="BP36" s="35" t="n">
        <v>7</v>
      </c>
      <c r="BQ36" s="35" t="n">
        <v>7</v>
      </c>
      <c r="BR36" s="35" t="n">
        <v>7</v>
      </c>
      <c r="BS36" s="35" t="n">
        <v>7</v>
      </c>
      <c r="BT36" s="35" t="n">
        <v>7</v>
      </c>
      <c r="DS36" s="27"/>
    </row>
    <row r="37" customFormat="false" ht="16.4" hidden="false" customHeight="false" outlineLevel="0" collapsed="false">
      <c r="A37" s="33" t="s">
        <v>38</v>
      </c>
      <c r="B37" s="26" t="s">
        <v>74</v>
      </c>
      <c r="C37" s="33" t="s">
        <v>25</v>
      </c>
      <c r="D37" s="1" t="n">
        <f aca="false">SUM(E37:EI37)</f>
        <v>7</v>
      </c>
      <c r="BW37" s="35" t="n">
        <v>7</v>
      </c>
      <c r="DS37" s="27"/>
    </row>
    <row r="38" customFormat="false" ht="16.4" hidden="false" customHeight="false" outlineLevel="0" collapsed="false">
      <c r="A38" s="33" t="s">
        <v>43</v>
      </c>
      <c r="B38" s="26" t="s">
        <v>81</v>
      </c>
      <c r="C38" s="33" t="s">
        <v>25</v>
      </c>
      <c r="D38" s="1" t="n">
        <f aca="false">SUM(E38:EI38)</f>
        <v>7</v>
      </c>
      <c r="BX38" s="35" t="n">
        <v>7</v>
      </c>
      <c r="DS38" s="27"/>
    </row>
    <row r="39" customFormat="false" ht="16.4" hidden="false" customHeight="false" outlineLevel="0" collapsed="false">
      <c r="A39" s="33" t="s">
        <v>39</v>
      </c>
      <c r="B39" s="26" t="s">
        <v>82</v>
      </c>
      <c r="C39" s="33" t="s">
        <v>25</v>
      </c>
      <c r="D39" s="1" t="n">
        <f aca="false">SUM(E39:EI39)</f>
        <v>14</v>
      </c>
      <c r="BY39" s="35" t="n">
        <v>7</v>
      </c>
      <c r="BZ39" s="35" t="n">
        <v>7</v>
      </c>
      <c r="DS39" s="27"/>
    </row>
    <row r="40" customFormat="false" ht="16.4" hidden="false" customHeight="false" outlineLevel="0" collapsed="false">
      <c r="A40" s="33" t="s">
        <v>36</v>
      </c>
      <c r="B40" s="26" t="s">
        <v>83</v>
      </c>
      <c r="C40" s="33" t="s">
        <v>25</v>
      </c>
      <c r="D40" s="1" t="n">
        <f aca="false">SUM(E40:EI40)</f>
        <v>7</v>
      </c>
      <c r="CA40" s="35" t="n">
        <v>7</v>
      </c>
      <c r="DS40" s="27"/>
    </row>
    <row r="41" customFormat="false" ht="16.4" hidden="false" customHeight="false" outlineLevel="0" collapsed="false">
      <c r="A41" s="33" t="s">
        <v>27</v>
      </c>
      <c r="B41" s="26" t="s">
        <v>61</v>
      </c>
      <c r="C41" s="33" t="s">
        <v>19</v>
      </c>
      <c r="D41" s="1" t="n">
        <f aca="false">SUM(E41:EI41)</f>
        <v>42</v>
      </c>
      <c r="AV41" s="37" t="n">
        <v>7</v>
      </c>
      <c r="AW41" s="37" t="n">
        <v>7</v>
      </c>
      <c r="AX41" s="37" t="n">
        <v>7</v>
      </c>
      <c r="AY41" s="37" t="n">
        <v>7</v>
      </c>
      <c r="BB41" s="37" t="n">
        <v>7</v>
      </c>
      <c r="BC41" s="37" t="n">
        <v>7</v>
      </c>
      <c r="DS41" s="27"/>
    </row>
    <row r="42" customFormat="false" ht="16.4" hidden="false" customHeight="false" outlineLevel="0" collapsed="false">
      <c r="A42" s="33" t="s">
        <v>27</v>
      </c>
      <c r="B42" s="26" t="s">
        <v>61</v>
      </c>
      <c r="C42" s="33" t="s">
        <v>22</v>
      </c>
      <c r="D42" s="1" t="n">
        <f aca="false">SUM(E42:EI42)</f>
        <v>42</v>
      </c>
      <c r="AV42" s="38" t="n">
        <v>7</v>
      </c>
      <c r="AW42" s="38" t="n">
        <v>7</v>
      </c>
      <c r="AX42" s="38" t="n">
        <v>7</v>
      </c>
      <c r="AY42" s="38" t="n">
        <v>7</v>
      </c>
      <c r="BB42" s="38" t="n">
        <v>7</v>
      </c>
      <c r="BC42" s="38" t="n">
        <v>7</v>
      </c>
      <c r="DS42" s="27"/>
    </row>
    <row r="43" customFormat="false" ht="16.4" hidden="false" customHeight="false" outlineLevel="0" collapsed="false">
      <c r="A43" s="33" t="s">
        <v>38</v>
      </c>
      <c r="B43" s="26" t="s">
        <v>70</v>
      </c>
      <c r="C43" s="33" t="s">
        <v>19</v>
      </c>
      <c r="D43" s="1" t="n">
        <f aca="false">SUM(E43:EI43)</f>
        <v>7</v>
      </c>
      <c r="BD43" s="37" t="n">
        <v>7</v>
      </c>
      <c r="DS43" s="27"/>
    </row>
    <row r="44" customFormat="false" ht="16.4" hidden="false" customHeight="false" outlineLevel="0" collapsed="false">
      <c r="A44" s="33" t="s">
        <v>38</v>
      </c>
      <c r="B44" s="26" t="s">
        <v>70</v>
      </c>
      <c r="C44" s="33" t="s">
        <v>22</v>
      </c>
      <c r="D44" s="1" t="n">
        <f aca="false">SUM(E44:EI44)</f>
        <v>7</v>
      </c>
      <c r="BD44" s="38" t="n">
        <v>7</v>
      </c>
      <c r="DS44" s="27"/>
    </row>
    <row r="45" customFormat="false" ht="31.3" hidden="false" customHeight="false" outlineLevel="0" collapsed="false">
      <c r="A45" s="33" t="s">
        <v>43</v>
      </c>
      <c r="B45" s="26" t="s">
        <v>84</v>
      </c>
      <c r="C45" s="33" t="s">
        <v>19</v>
      </c>
      <c r="D45" s="1" t="n">
        <f aca="false">SUM(E45:EI45)</f>
        <v>7</v>
      </c>
      <c r="BE45" s="37" t="n">
        <v>7</v>
      </c>
      <c r="DS45" s="27"/>
    </row>
    <row r="46" customFormat="false" ht="31.3" hidden="false" customHeight="false" outlineLevel="0" collapsed="false">
      <c r="A46" s="33" t="s">
        <v>43</v>
      </c>
      <c r="B46" s="26" t="s">
        <v>84</v>
      </c>
      <c r="C46" s="33" t="s">
        <v>22</v>
      </c>
      <c r="D46" s="1" t="n">
        <f aca="false">SUM(E46:EI46)</f>
        <v>7</v>
      </c>
      <c r="BE46" s="38" t="n">
        <v>7</v>
      </c>
      <c r="DS46" s="27"/>
    </row>
    <row r="47" customFormat="false" ht="16.4" hidden="false" customHeight="false" outlineLevel="0" collapsed="false">
      <c r="A47" s="33" t="s">
        <v>27</v>
      </c>
      <c r="B47" s="26" t="s">
        <v>64</v>
      </c>
      <c r="C47" s="33" t="s">
        <v>19</v>
      </c>
      <c r="D47" s="1" t="n">
        <f aca="false">SUM(E47:EI47)</f>
        <v>42</v>
      </c>
      <c r="BF47" s="37" t="n">
        <v>7</v>
      </c>
      <c r="BI47" s="37" t="n">
        <v>7</v>
      </c>
      <c r="BJ47" s="37" t="n">
        <v>7</v>
      </c>
      <c r="BK47" s="37" t="n">
        <v>7</v>
      </c>
      <c r="BL47" s="37" t="n">
        <v>7</v>
      </c>
      <c r="BM47" s="37" t="n">
        <v>7</v>
      </c>
      <c r="DS47" s="27"/>
    </row>
    <row r="48" customFormat="false" ht="16.4" hidden="false" customHeight="false" outlineLevel="0" collapsed="false">
      <c r="A48" s="33" t="s">
        <v>27</v>
      </c>
      <c r="B48" s="26" t="s">
        <v>64</v>
      </c>
      <c r="C48" s="33" t="s">
        <v>22</v>
      </c>
      <c r="D48" s="1" t="n">
        <f aca="false">SUM(E48:EI48)</f>
        <v>42</v>
      </c>
      <c r="BF48" s="38" t="n">
        <v>7</v>
      </c>
      <c r="BI48" s="38" t="n">
        <v>7</v>
      </c>
      <c r="BJ48" s="38" t="n">
        <v>7</v>
      </c>
      <c r="BK48" s="38" t="n">
        <v>7</v>
      </c>
      <c r="BL48" s="38" t="n">
        <v>7</v>
      </c>
      <c r="BM48" s="38" t="n">
        <v>7</v>
      </c>
      <c r="DS48" s="27"/>
    </row>
    <row r="49" customFormat="false" ht="16.4" hidden="false" customHeight="false" outlineLevel="0" collapsed="false">
      <c r="A49" s="33" t="s">
        <v>38</v>
      </c>
      <c r="B49" s="26" t="s">
        <v>72</v>
      </c>
      <c r="C49" s="33" t="s">
        <v>19</v>
      </c>
      <c r="D49" s="1" t="n">
        <f aca="false">SUM(E49:EI49)</f>
        <v>7</v>
      </c>
      <c r="BP49" s="37" t="n">
        <v>7</v>
      </c>
      <c r="DS49" s="27"/>
    </row>
    <row r="50" customFormat="false" ht="16.4" hidden="false" customHeight="false" outlineLevel="0" collapsed="false">
      <c r="A50" s="33" t="s">
        <v>38</v>
      </c>
      <c r="B50" s="26" t="s">
        <v>72</v>
      </c>
      <c r="C50" s="33" t="s">
        <v>22</v>
      </c>
      <c r="D50" s="1" t="n">
        <f aca="false">SUM(E50:EI50)</f>
        <v>7</v>
      </c>
      <c r="BP50" s="38" t="n">
        <v>7</v>
      </c>
      <c r="DS50" s="27"/>
    </row>
    <row r="51" customFormat="false" ht="31.3" hidden="false" customHeight="false" outlineLevel="0" collapsed="false">
      <c r="A51" s="33" t="s">
        <v>43</v>
      </c>
      <c r="B51" s="26" t="s">
        <v>85</v>
      </c>
      <c r="C51" s="33" t="s">
        <v>19</v>
      </c>
      <c r="D51" s="1" t="n">
        <f aca="false">SUM(E51:EI51)</f>
        <v>7</v>
      </c>
      <c r="BQ51" s="37" t="n">
        <v>7</v>
      </c>
      <c r="DS51" s="27"/>
    </row>
    <row r="52" customFormat="false" ht="31.3" hidden="false" customHeight="false" outlineLevel="0" collapsed="false">
      <c r="A52" s="33" t="s">
        <v>43</v>
      </c>
      <c r="B52" s="26" t="s">
        <v>85</v>
      </c>
      <c r="C52" s="33" t="s">
        <v>22</v>
      </c>
      <c r="D52" s="1" t="n">
        <f aca="false">SUM(E52:EI52)</f>
        <v>7</v>
      </c>
      <c r="BQ52" s="38" t="n">
        <v>7</v>
      </c>
      <c r="DS52" s="27"/>
    </row>
    <row r="53" customFormat="false" ht="16.4" hidden="false" customHeight="false" outlineLevel="0" collapsed="false">
      <c r="A53" s="33" t="s">
        <v>27</v>
      </c>
      <c r="B53" s="26" t="s">
        <v>67</v>
      </c>
      <c r="C53" s="33" t="s">
        <v>19</v>
      </c>
      <c r="D53" s="1" t="n">
        <f aca="false">SUM(E53:EI53)</f>
        <v>42</v>
      </c>
      <c r="BR53" s="37" t="n">
        <v>7</v>
      </c>
      <c r="BS53" s="37" t="n">
        <v>7</v>
      </c>
      <c r="BT53" s="37" t="n">
        <v>7</v>
      </c>
      <c r="BU53" s="37" t="n">
        <v>7</v>
      </c>
      <c r="BV53" s="37" t="n">
        <v>7</v>
      </c>
      <c r="BW53" s="37" t="n">
        <v>7</v>
      </c>
      <c r="DS53" s="27"/>
    </row>
    <row r="54" customFormat="false" ht="16.4" hidden="false" customHeight="false" outlineLevel="0" collapsed="false">
      <c r="A54" s="33" t="s">
        <v>27</v>
      </c>
      <c r="B54" s="26" t="s">
        <v>67</v>
      </c>
      <c r="C54" s="33" t="s">
        <v>22</v>
      </c>
      <c r="D54" s="1" t="n">
        <f aca="false">SUM(E54:EI54)</f>
        <v>42</v>
      </c>
      <c r="BR54" s="38" t="n">
        <v>7</v>
      </c>
      <c r="BS54" s="38" t="n">
        <v>7</v>
      </c>
      <c r="BT54" s="38" t="n">
        <v>7</v>
      </c>
      <c r="BU54" s="38" t="n">
        <v>7</v>
      </c>
      <c r="BV54" s="38" t="n">
        <v>7</v>
      </c>
      <c r="BW54" s="38" t="n">
        <v>7</v>
      </c>
      <c r="DS54" s="27"/>
    </row>
    <row r="55" customFormat="false" ht="16.4" hidden="false" customHeight="false" outlineLevel="0" collapsed="false">
      <c r="A55" s="33" t="s">
        <v>38</v>
      </c>
      <c r="B55" s="26" t="s">
        <v>74</v>
      </c>
      <c r="C55" s="33" t="s">
        <v>19</v>
      </c>
      <c r="D55" s="1" t="n">
        <f aca="false">SUM(E55:EI55)</f>
        <v>7</v>
      </c>
      <c r="BX55" s="37" t="n">
        <v>7</v>
      </c>
      <c r="DS55" s="27"/>
    </row>
    <row r="56" customFormat="false" ht="16.4" hidden="false" customHeight="false" outlineLevel="0" collapsed="false">
      <c r="A56" s="33" t="s">
        <v>38</v>
      </c>
      <c r="B56" s="26" t="s">
        <v>74</v>
      </c>
      <c r="C56" s="33" t="s">
        <v>22</v>
      </c>
      <c r="D56" s="1" t="n">
        <f aca="false">SUM(E56:EI56)</f>
        <v>7</v>
      </c>
      <c r="BX56" s="38" t="n">
        <v>7</v>
      </c>
      <c r="DS56" s="27"/>
    </row>
    <row r="57" customFormat="false" ht="31.3" hidden="false" customHeight="false" outlineLevel="0" collapsed="false">
      <c r="A57" s="33" t="s">
        <v>43</v>
      </c>
      <c r="B57" s="26" t="s">
        <v>86</v>
      </c>
      <c r="C57" s="33" t="s">
        <v>19</v>
      </c>
      <c r="D57" s="1" t="n">
        <f aca="false">SUM(E57:EI57)</f>
        <v>7</v>
      </c>
      <c r="BY57" s="37" t="n">
        <v>7</v>
      </c>
      <c r="DS57" s="27"/>
    </row>
    <row r="58" customFormat="false" ht="31.3" hidden="false" customHeight="false" outlineLevel="0" collapsed="false">
      <c r="A58" s="33" t="s">
        <v>43</v>
      </c>
      <c r="B58" s="26" t="s">
        <v>86</v>
      </c>
      <c r="C58" s="33" t="s">
        <v>22</v>
      </c>
      <c r="D58" s="1" t="n">
        <f aca="false">SUM(E58:EI58)</f>
        <v>7</v>
      </c>
      <c r="BY58" s="38" t="n">
        <v>7</v>
      </c>
      <c r="DS58" s="27"/>
    </row>
    <row r="59" customFormat="false" ht="31.3" hidden="false" customHeight="false" outlineLevel="0" collapsed="false">
      <c r="A59" s="33" t="s">
        <v>39</v>
      </c>
      <c r="B59" s="26" t="s">
        <v>87</v>
      </c>
      <c r="C59" s="33" t="s">
        <v>19</v>
      </c>
      <c r="D59" s="1" t="n">
        <f aca="false">SUM(E59:EI59)</f>
        <v>14</v>
      </c>
      <c r="BZ59" s="37" t="n">
        <v>7</v>
      </c>
      <c r="CA59" s="37" t="n">
        <v>7</v>
      </c>
      <c r="DS59" s="27"/>
    </row>
    <row r="60" customFormat="false" ht="15" hidden="false" customHeight="false" outlineLevel="0" collapsed="false">
      <c r="A60" s="33" t="s">
        <v>39</v>
      </c>
      <c r="C60" s="33" t="s">
        <v>22</v>
      </c>
      <c r="D60" s="1" t="n">
        <f aca="false">SUM(E60:EI60)</f>
        <v>14</v>
      </c>
      <c r="BZ60" s="38" t="n">
        <v>7</v>
      </c>
      <c r="CA60" s="38" t="n">
        <v>7</v>
      </c>
      <c r="DS60" s="27"/>
    </row>
    <row r="61" customFormat="false" ht="16.4" hidden="false" customHeight="false" outlineLevel="0" collapsed="false">
      <c r="A61" s="33" t="s">
        <v>36</v>
      </c>
      <c r="B61" s="26" t="s">
        <v>88</v>
      </c>
      <c r="C61" s="33" t="s">
        <v>19</v>
      </c>
      <c r="D61" s="1" t="n">
        <f aca="false">SUM(E61:EI61)</f>
        <v>7</v>
      </c>
      <c r="CD61" s="37" t="n">
        <v>7</v>
      </c>
      <c r="DS61" s="27"/>
    </row>
    <row r="62" customFormat="false" ht="15" hidden="false" customHeight="false" outlineLevel="0" collapsed="false">
      <c r="A62" s="33" t="s">
        <v>36</v>
      </c>
      <c r="C62" s="33" t="s">
        <v>22</v>
      </c>
      <c r="D62" s="1" t="n">
        <f aca="false">SUM(E62:EI62)</f>
        <v>7</v>
      </c>
      <c r="CD62" s="38" t="n">
        <v>7</v>
      </c>
      <c r="DS62" s="27"/>
    </row>
    <row r="63" customFormat="false" ht="16.4" hidden="false" customHeight="false" outlineLevel="0" collapsed="false">
      <c r="A63" s="33" t="s">
        <v>34</v>
      </c>
      <c r="B63" s="26" t="s">
        <v>61</v>
      </c>
      <c r="C63" s="33" t="s">
        <v>15</v>
      </c>
      <c r="D63" s="1" t="n">
        <f aca="false">SUM(E63:EI63)</f>
        <v>35</v>
      </c>
      <c r="AV63" s="36" t="n">
        <v>7</v>
      </c>
      <c r="AW63" s="36" t="n">
        <v>7</v>
      </c>
      <c r="AX63" s="36" t="n">
        <v>7</v>
      </c>
      <c r="AY63" s="36" t="n">
        <v>7</v>
      </c>
      <c r="BB63" s="36" t="n">
        <v>7</v>
      </c>
      <c r="DS63" s="27"/>
    </row>
    <row r="64" customFormat="false" ht="16.4" hidden="false" customHeight="false" outlineLevel="0" collapsed="false">
      <c r="A64" s="33" t="s">
        <v>38</v>
      </c>
      <c r="B64" s="26" t="s">
        <v>70</v>
      </c>
      <c r="C64" s="33" t="s">
        <v>15</v>
      </c>
      <c r="D64" s="1" t="n">
        <f aca="false">SUM(E64:EI64)</f>
        <v>7</v>
      </c>
      <c r="BC64" s="36" t="n">
        <v>7</v>
      </c>
      <c r="DS64" s="27"/>
    </row>
    <row r="65" customFormat="false" ht="16.4" hidden="false" customHeight="false" outlineLevel="0" collapsed="false">
      <c r="A65" s="33" t="s">
        <v>43</v>
      </c>
      <c r="B65" s="26" t="s">
        <v>89</v>
      </c>
      <c r="C65" s="33" t="s">
        <v>15</v>
      </c>
      <c r="D65" s="1" t="n">
        <f aca="false">SUM(E65:EI65)</f>
        <v>7</v>
      </c>
      <c r="BD65" s="36" t="n">
        <v>7</v>
      </c>
      <c r="DS65" s="27"/>
    </row>
    <row r="66" customFormat="false" ht="16.4" hidden="false" customHeight="false" outlineLevel="0" collapsed="false">
      <c r="A66" s="33" t="s">
        <v>34</v>
      </c>
      <c r="B66" s="26" t="s">
        <v>64</v>
      </c>
      <c r="C66" s="33" t="s">
        <v>15</v>
      </c>
      <c r="D66" s="1" t="n">
        <f aca="false">SUM(E66:EI66)</f>
        <v>35</v>
      </c>
      <c r="BE66" s="36" t="n">
        <v>7</v>
      </c>
      <c r="BF66" s="36" t="n">
        <v>7</v>
      </c>
      <c r="BI66" s="36" t="n">
        <v>7</v>
      </c>
      <c r="BJ66" s="36" t="n">
        <v>7</v>
      </c>
      <c r="BK66" s="36" t="n">
        <v>7</v>
      </c>
      <c r="DS66" s="27"/>
    </row>
    <row r="67" customFormat="false" ht="16.4" hidden="false" customHeight="false" outlineLevel="0" collapsed="false">
      <c r="A67" s="33" t="s">
        <v>38</v>
      </c>
      <c r="B67" s="26" t="s">
        <v>72</v>
      </c>
      <c r="C67" s="33" t="s">
        <v>15</v>
      </c>
      <c r="D67" s="1" t="n">
        <f aca="false">SUM(E67:EI67)</f>
        <v>7</v>
      </c>
      <c r="BL67" s="36" t="n">
        <v>7</v>
      </c>
      <c r="DS67" s="27"/>
    </row>
    <row r="68" customFormat="false" ht="16.4" hidden="false" customHeight="false" outlineLevel="0" collapsed="false">
      <c r="A68" s="33" t="s">
        <v>43</v>
      </c>
      <c r="B68" s="26" t="s">
        <v>90</v>
      </c>
      <c r="C68" s="33" t="s">
        <v>15</v>
      </c>
      <c r="D68" s="1" t="n">
        <f aca="false">SUM(E68:EI68)</f>
        <v>7</v>
      </c>
      <c r="BM68" s="36" t="n">
        <v>7</v>
      </c>
      <c r="DS68" s="27"/>
    </row>
    <row r="69" customFormat="false" ht="16.4" hidden="false" customHeight="false" outlineLevel="0" collapsed="false">
      <c r="A69" s="33" t="s">
        <v>34</v>
      </c>
      <c r="B69" s="26" t="s">
        <v>67</v>
      </c>
      <c r="C69" s="33" t="s">
        <v>15</v>
      </c>
      <c r="D69" s="1" t="n">
        <f aca="false">SUM(E69:EI69)</f>
        <v>35</v>
      </c>
      <c r="BP69" s="36" t="n">
        <v>7</v>
      </c>
      <c r="BQ69" s="36" t="n">
        <v>7</v>
      </c>
      <c r="BR69" s="36" t="n">
        <v>7</v>
      </c>
      <c r="BS69" s="36" t="n">
        <v>7</v>
      </c>
      <c r="BT69" s="36" t="n">
        <v>7</v>
      </c>
      <c r="DS69" s="27"/>
    </row>
    <row r="70" customFormat="false" ht="16.4" hidden="false" customHeight="false" outlineLevel="0" collapsed="false">
      <c r="A70" s="33" t="s">
        <v>38</v>
      </c>
      <c r="B70" s="26" t="s">
        <v>74</v>
      </c>
      <c r="C70" s="33" t="s">
        <v>15</v>
      </c>
      <c r="D70" s="1" t="n">
        <f aca="false">SUM(E70:EI70)</f>
        <v>7</v>
      </c>
      <c r="BW70" s="36" t="n">
        <v>7</v>
      </c>
      <c r="DS70" s="27"/>
    </row>
    <row r="71" customFormat="false" ht="16.4" hidden="false" customHeight="false" outlineLevel="0" collapsed="false">
      <c r="A71" s="33" t="s">
        <v>43</v>
      </c>
      <c r="B71" s="26" t="s">
        <v>91</v>
      </c>
      <c r="C71" s="33" t="s">
        <v>15</v>
      </c>
      <c r="D71" s="1" t="n">
        <f aca="false">SUM(E71:EI71)</f>
        <v>7</v>
      </c>
      <c r="BX71" s="36" t="n">
        <v>7</v>
      </c>
      <c r="DS71" s="27"/>
    </row>
    <row r="72" customFormat="false" ht="16.4" hidden="false" customHeight="false" outlineLevel="0" collapsed="false">
      <c r="A72" s="33" t="s">
        <v>39</v>
      </c>
      <c r="B72" s="26" t="s">
        <v>92</v>
      </c>
      <c r="C72" s="33" t="s">
        <v>15</v>
      </c>
      <c r="D72" s="1" t="n">
        <f aca="false">SUM(E72:EI72)</f>
        <v>14</v>
      </c>
      <c r="BY72" s="36" t="n">
        <v>7</v>
      </c>
      <c r="BZ72" s="36" t="n">
        <v>7</v>
      </c>
      <c r="DS72" s="27"/>
    </row>
    <row r="73" customFormat="false" ht="16.4" hidden="false" customHeight="false" outlineLevel="0" collapsed="false">
      <c r="A73" s="33" t="s">
        <v>36</v>
      </c>
      <c r="B73" s="26" t="s">
        <v>93</v>
      </c>
      <c r="C73" s="33" t="s">
        <v>15</v>
      </c>
      <c r="D73" s="1" t="n">
        <f aca="false">SUM(E73:EI73)</f>
        <v>7</v>
      </c>
      <c r="CA73" s="36" t="n">
        <v>7</v>
      </c>
      <c r="DS73" s="27"/>
    </row>
    <row r="74" customFormat="false" ht="16.4" hidden="false" customHeight="false" outlineLevel="0" collapsed="false">
      <c r="A74" s="33" t="s">
        <v>41</v>
      </c>
      <c r="B74" s="26" t="s">
        <v>94</v>
      </c>
      <c r="C74" s="33" t="s">
        <v>15</v>
      </c>
      <c r="D74" s="1" t="n">
        <f aca="false">SUM(E74:EI74)</f>
        <v>14</v>
      </c>
      <c r="CD74" s="36" t="n">
        <v>7</v>
      </c>
      <c r="CE74" s="36" t="n">
        <v>7</v>
      </c>
      <c r="DS74" s="27"/>
    </row>
    <row r="75" customFormat="false" ht="16.4" hidden="false" customHeight="false" outlineLevel="0" collapsed="false">
      <c r="A75" s="33" t="s">
        <v>41</v>
      </c>
      <c r="B75" s="26" t="s">
        <v>94</v>
      </c>
      <c r="C75" s="33" t="s">
        <v>25</v>
      </c>
      <c r="D75" s="1" t="n">
        <f aca="false">SUM(E75:EI75)</f>
        <v>14</v>
      </c>
      <c r="CD75" s="35" t="n">
        <v>7</v>
      </c>
      <c r="CE75" s="35" t="n">
        <v>7</v>
      </c>
      <c r="DS75" s="27"/>
    </row>
    <row r="76" customFormat="false" ht="16.4" hidden="false" customHeight="false" outlineLevel="0" collapsed="false">
      <c r="A76" s="33" t="s">
        <v>23</v>
      </c>
      <c r="B76" s="26" t="s">
        <v>61</v>
      </c>
      <c r="C76" s="33" t="s">
        <v>15</v>
      </c>
      <c r="D76" s="1" t="n">
        <f aca="false">SUM(E76:EI76)</f>
        <v>21</v>
      </c>
      <c r="CF76" s="36" t="n">
        <v>7</v>
      </c>
      <c r="CG76" s="36" t="n">
        <v>7</v>
      </c>
      <c r="CH76" s="36" t="n">
        <v>7</v>
      </c>
      <c r="DS76" s="27"/>
    </row>
    <row r="77" customFormat="false" ht="16.4" hidden="false" customHeight="false" outlineLevel="0" collapsed="false">
      <c r="A77" s="33" t="s">
        <v>23</v>
      </c>
      <c r="B77" s="26" t="s">
        <v>61</v>
      </c>
      <c r="C77" s="33" t="s">
        <v>19</v>
      </c>
      <c r="D77" s="1" t="n">
        <f aca="false">SUM(E77:EI77)</f>
        <v>21</v>
      </c>
      <c r="CF77" s="38" t="n">
        <v>7</v>
      </c>
      <c r="CG77" s="38" t="n">
        <v>7</v>
      </c>
      <c r="CH77" s="38" t="n">
        <v>7</v>
      </c>
      <c r="DS77" s="27"/>
    </row>
    <row r="78" customFormat="false" ht="16.4" hidden="false" customHeight="false" outlineLevel="0" collapsed="false">
      <c r="A78" s="33" t="s">
        <v>38</v>
      </c>
      <c r="B78" s="26" t="s">
        <v>95</v>
      </c>
      <c r="C78" s="33" t="s">
        <v>15</v>
      </c>
      <c r="D78" s="1" t="n">
        <f aca="false">SUM(E78:EI78)</f>
        <v>7</v>
      </c>
      <c r="CK78" s="36" t="n">
        <v>7</v>
      </c>
      <c r="DS78" s="27"/>
    </row>
    <row r="79" customFormat="false" ht="16.4" hidden="false" customHeight="false" outlineLevel="0" collapsed="false">
      <c r="A79" s="33" t="s">
        <v>38</v>
      </c>
      <c r="B79" s="26" t="s">
        <v>96</v>
      </c>
      <c r="C79" s="33" t="s">
        <v>19</v>
      </c>
      <c r="D79" s="1" t="n">
        <f aca="false">SUM(E79:EI79)</f>
        <v>7</v>
      </c>
      <c r="CK79" s="38" t="n">
        <v>7</v>
      </c>
      <c r="DS79" s="27"/>
    </row>
    <row r="80" customFormat="false" ht="16.4" hidden="false" customHeight="false" outlineLevel="0" collapsed="false">
      <c r="A80" s="33" t="s">
        <v>43</v>
      </c>
      <c r="B80" s="26" t="s">
        <v>97</v>
      </c>
      <c r="C80" s="33" t="s">
        <v>15</v>
      </c>
      <c r="D80" s="1" t="n">
        <f aca="false">SUM(E80:EI80)</f>
        <v>7</v>
      </c>
      <c r="CL80" s="36" t="n">
        <v>7</v>
      </c>
      <c r="DS80" s="27"/>
    </row>
    <row r="81" customFormat="false" ht="16.4" hidden="false" customHeight="false" outlineLevel="0" collapsed="false">
      <c r="A81" s="33" t="s">
        <v>43</v>
      </c>
      <c r="B81" s="26" t="s">
        <v>97</v>
      </c>
      <c r="C81" s="33" t="s">
        <v>19</v>
      </c>
      <c r="D81" s="1" t="n">
        <f aca="false">SUM(E81:EI81)</f>
        <v>7</v>
      </c>
      <c r="CL81" s="38" t="n">
        <v>7</v>
      </c>
      <c r="DS81" s="27"/>
    </row>
    <row r="82" customFormat="false" ht="16.4" hidden="false" customHeight="false" outlineLevel="0" collapsed="false">
      <c r="A82" s="33" t="s">
        <v>23</v>
      </c>
      <c r="B82" s="26" t="s">
        <v>64</v>
      </c>
      <c r="C82" s="33" t="s">
        <v>15</v>
      </c>
      <c r="D82" s="1" t="n">
        <f aca="false">SUM(E82:EI82)</f>
        <v>21</v>
      </c>
      <c r="CM82" s="36" t="n">
        <v>7</v>
      </c>
      <c r="CN82" s="36" t="n">
        <v>7</v>
      </c>
      <c r="CO82" s="36" t="n">
        <v>7</v>
      </c>
      <c r="DS82" s="27"/>
    </row>
    <row r="83" customFormat="false" ht="16.4" hidden="false" customHeight="false" outlineLevel="0" collapsed="false">
      <c r="A83" s="33" t="s">
        <v>23</v>
      </c>
      <c r="B83" s="26" t="s">
        <v>64</v>
      </c>
      <c r="C83" s="33" t="s">
        <v>19</v>
      </c>
      <c r="D83" s="1" t="n">
        <f aca="false">SUM(E83:EI83)</f>
        <v>21</v>
      </c>
      <c r="CM83" s="38" t="n">
        <v>7</v>
      </c>
      <c r="CN83" s="38" t="n">
        <v>7</v>
      </c>
      <c r="CO83" s="38" t="n">
        <v>7</v>
      </c>
      <c r="DS83" s="27"/>
    </row>
    <row r="84" customFormat="false" ht="16.4" hidden="false" customHeight="false" outlineLevel="0" collapsed="false">
      <c r="A84" s="33" t="s">
        <v>38</v>
      </c>
      <c r="B84" s="26" t="s">
        <v>98</v>
      </c>
      <c r="C84" s="33" t="s">
        <v>15</v>
      </c>
      <c r="D84" s="1" t="n">
        <f aca="false">SUM(E84:EI84)</f>
        <v>7</v>
      </c>
      <c r="CR84" s="36" t="n">
        <v>7</v>
      </c>
      <c r="DS84" s="27"/>
    </row>
    <row r="85" customFormat="false" ht="16.4" hidden="false" customHeight="false" outlineLevel="0" collapsed="false">
      <c r="A85" s="33" t="s">
        <v>38</v>
      </c>
      <c r="B85" s="26" t="s">
        <v>99</v>
      </c>
      <c r="C85" s="33" t="s">
        <v>19</v>
      </c>
      <c r="D85" s="1" t="n">
        <f aca="false">SUM(E85:EI85)</f>
        <v>7</v>
      </c>
      <c r="CR85" s="38" t="n">
        <v>7</v>
      </c>
      <c r="DS85" s="27"/>
    </row>
    <row r="86" customFormat="false" ht="16.4" hidden="false" customHeight="false" outlineLevel="0" collapsed="false">
      <c r="A86" s="33" t="s">
        <v>43</v>
      </c>
      <c r="B86" s="26" t="s">
        <v>100</v>
      </c>
      <c r="C86" s="33" t="s">
        <v>15</v>
      </c>
      <c r="D86" s="1" t="n">
        <f aca="false">SUM(E86:EI86)</f>
        <v>7</v>
      </c>
      <c r="CS86" s="36" t="n">
        <v>7</v>
      </c>
      <c r="DS86" s="27"/>
    </row>
    <row r="87" customFormat="false" ht="16.4" hidden="false" customHeight="false" outlineLevel="0" collapsed="false">
      <c r="A87" s="33" t="s">
        <v>43</v>
      </c>
      <c r="B87" s="26" t="s">
        <v>100</v>
      </c>
      <c r="C87" s="33" t="s">
        <v>19</v>
      </c>
      <c r="D87" s="1" t="n">
        <f aca="false">SUM(E87:EI87)</f>
        <v>7</v>
      </c>
      <c r="CS87" s="38" t="n">
        <v>7</v>
      </c>
      <c r="DS87" s="27"/>
    </row>
    <row r="88" customFormat="false" ht="16.4" hidden="false" customHeight="false" outlineLevel="0" collapsed="false">
      <c r="A88" s="33" t="s">
        <v>23</v>
      </c>
      <c r="B88" s="26" t="s">
        <v>67</v>
      </c>
      <c r="C88" s="33" t="s">
        <v>15</v>
      </c>
      <c r="D88" s="1" t="n">
        <f aca="false">SUM(E88:EI88)</f>
        <v>28</v>
      </c>
      <c r="CT88" s="36" t="n">
        <v>7</v>
      </c>
      <c r="CU88" s="36" t="n">
        <v>7</v>
      </c>
      <c r="CV88" s="36" t="n">
        <v>7</v>
      </c>
      <c r="CY88" s="36" t="n">
        <v>7</v>
      </c>
      <c r="DS88" s="27"/>
    </row>
    <row r="89" customFormat="false" ht="16.4" hidden="false" customHeight="false" outlineLevel="0" collapsed="false">
      <c r="A89" s="33" t="s">
        <v>23</v>
      </c>
      <c r="B89" s="26" t="s">
        <v>67</v>
      </c>
      <c r="C89" s="33" t="s">
        <v>19</v>
      </c>
      <c r="D89" s="1" t="n">
        <f aca="false">SUM(E89:EI89)</f>
        <v>28</v>
      </c>
      <c r="CT89" s="38" t="n">
        <v>7</v>
      </c>
      <c r="CU89" s="38" t="n">
        <v>7</v>
      </c>
      <c r="CV89" s="38" t="n">
        <v>7</v>
      </c>
      <c r="CY89" s="38" t="n">
        <v>7</v>
      </c>
      <c r="DS89" s="27"/>
    </row>
    <row r="90" customFormat="false" ht="16.4" hidden="false" customHeight="false" outlineLevel="0" collapsed="false">
      <c r="A90" s="33" t="s">
        <v>38</v>
      </c>
      <c r="B90" s="26" t="s">
        <v>101</v>
      </c>
      <c r="C90" s="33" t="s">
        <v>15</v>
      </c>
      <c r="D90" s="1" t="n">
        <f aca="false">SUM(E90:EI90)</f>
        <v>7</v>
      </c>
      <c r="CZ90" s="36" t="n">
        <v>7</v>
      </c>
      <c r="DS90" s="27"/>
    </row>
    <row r="91" customFormat="false" ht="16.4" hidden="false" customHeight="false" outlineLevel="0" collapsed="false">
      <c r="A91" s="33" t="s">
        <v>38</v>
      </c>
      <c r="B91" s="26" t="s">
        <v>102</v>
      </c>
      <c r="C91" s="33" t="s">
        <v>19</v>
      </c>
      <c r="D91" s="1" t="n">
        <f aca="false">SUM(E91:EI91)</f>
        <v>7</v>
      </c>
      <c r="CZ91" s="38" t="n">
        <v>7</v>
      </c>
      <c r="DS91" s="27"/>
    </row>
    <row r="92" customFormat="false" ht="16.4" hidden="false" customHeight="false" outlineLevel="0" collapsed="false">
      <c r="A92" s="33" t="s">
        <v>43</v>
      </c>
      <c r="B92" s="26" t="s">
        <v>103</v>
      </c>
      <c r="C92" s="33" t="s">
        <v>15</v>
      </c>
      <c r="D92" s="1" t="n">
        <f aca="false">SUM(E92:EI92)</f>
        <v>7</v>
      </c>
      <c r="DA92" s="36" t="n">
        <v>7</v>
      </c>
      <c r="DS92" s="27"/>
    </row>
    <row r="93" customFormat="false" ht="16.4" hidden="false" customHeight="false" outlineLevel="0" collapsed="false">
      <c r="A93" s="33" t="s">
        <v>43</v>
      </c>
      <c r="B93" s="26" t="s">
        <v>103</v>
      </c>
      <c r="C93" s="33" t="s">
        <v>19</v>
      </c>
      <c r="D93" s="1" t="n">
        <f aca="false">SUM(E93:EI93)</f>
        <v>7</v>
      </c>
      <c r="DA93" s="38" t="n">
        <v>7</v>
      </c>
      <c r="DS93" s="27"/>
    </row>
    <row r="94" customFormat="false" ht="16.4" hidden="false" customHeight="false" outlineLevel="0" collapsed="false">
      <c r="A94" s="33" t="s">
        <v>39</v>
      </c>
      <c r="B94" s="26" t="s">
        <v>104</v>
      </c>
      <c r="C94" s="33" t="s">
        <v>15</v>
      </c>
      <c r="D94" s="1" t="n">
        <f aca="false">SUM(E94:EI94)</f>
        <v>14</v>
      </c>
      <c r="DB94" s="36" t="n">
        <v>7</v>
      </c>
      <c r="DC94" s="36" t="n">
        <v>7</v>
      </c>
      <c r="DS94" s="27"/>
    </row>
    <row r="95" customFormat="false" ht="16.4" hidden="false" customHeight="false" outlineLevel="0" collapsed="false">
      <c r="A95" s="33" t="s">
        <v>36</v>
      </c>
      <c r="B95" s="26" t="s">
        <v>105</v>
      </c>
      <c r="C95" s="33" t="s">
        <v>15</v>
      </c>
      <c r="D95" s="1" t="n">
        <f aca="false">SUM(E95:EI95)</f>
        <v>7</v>
      </c>
      <c r="DF95" s="36" t="n">
        <v>7</v>
      </c>
      <c r="DS95" s="27"/>
    </row>
    <row r="96" customFormat="false" ht="16.4" hidden="false" customHeight="false" outlineLevel="0" collapsed="false">
      <c r="A96" s="33" t="s">
        <v>41</v>
      </c>
      <c r="B96" s="26" t="s">
        <v>106</v>
      </c>
      <c r="C96" s="33" t="s">
        <v>15</v>
      </c>
      <c r="D96" s="1" t="n">
        <f aca="false">SUM(E96:EI96)</f>
        <v>14</v>
      </c>
      <c r="DG96" s="36" t="n">
        <v>7</v>
      </c>
      <c r="DH96" s="36" t="n">
        <v>7</v>
      </c>
      <c r="DS96" s="27"/>
    </row>
    <row r="97" customFormat="false" ht="15" hidden="false" customHeight="false" outlineLevel="0" collapsed="false">
      <c r="A97" s="33" t="s">
        <v>47</v>
      </c>
      <c r="C97" s="33" t="s">
        <v>15</v>
      </c>
      <c r="D97" s="1" t="n">
        <f aca="false">SUM(E97:EI97)</f>
        <v>21</v>
      </c>
      <c r="DI97" s="36" t="n">
        <v>7</v>
      </c>
      <c r="DJ97" s="36" t="n">
        <v>7</v>
      </c>
      <c r="DM97" s="36" t="n">
        <v>7</v>
      </c>
      <c r="DS97" s="27"/>
    </row>
    <row r="98" customFormat="false" ht="15" hidden="false" customHeight="false" outlineLevel="0" collapsed="false">
      <c r="A98" s="33" t="s">
        <v>44</v>
      </c>
      <c r="C98" s="33" t="s">
        <v>22</v>
      </c>
      <c r="D98" s="1" t="n">
        <f aca="false">SUM(E98:EI98)</f>
        <v>35</v>
      </c>
      <c r="DI98" s="37" t="n">
        <v>7</v>
      </c>
      <c r="DJ98" s="37" t="n">
        <v>7</v>
      </c>
      <c r="DM98" s="37" t="n">
        <v>7</v>
      </c>
      <c r="DN98" s="37"/>
      <c r="DO98" s="37" t="n">
        <v>7</v>
      </c>
      <c r="DP98" s="37" t="n">
        <v>7</v>
      </c>
      <c r="DS98" s="27"/>
    </row>
    <row r="99" customFormat="false" ht="15" hidden="false" customHeight="false" outlineLevel="0" collapsed="false">
      <c r="A99" s="33" t="s">
        <v>46</v>
      </c>
      <c r="C99" s="33" t="s">
        <v>22</v>
      </c>
      <c r="D99" s="1" t="n">
        <f aca="false">SUM(E99:EI99)</f>
        <v>14</v>
      </c>
      <c r="E99" s="37" t="n">
        <v>7</v>
      </c>
      <c r="F99" s="37" t="n">
        <v>7</v>
      </c>
      <c r="DS99" s="27"/>
    </row>
    <row r="100" customFormat="false" ht="16.4" hidden="false" customHeight="false" outlineLevel="0" collapsed="false">
      <c r="A100" s="33"/>
      <c r="B100" s="26" t="s">
        <v>107</v>
      </c>
      <c r="C100" s="33"/>
      <c r="D100" s="1" t="n">
        <f aca="false">SUM(E100:EI100)</f>
        <v>588</v>
      </c>
      <c r="E100" s="1" t="n">
        <v>7</v>
      </c>
      <c r="F100" s="1" t="n">
        <v>7</v>
      </c>
      <c r="G100" s="1" t="n">
        <v>7</v>
      </c>
      <c r="H100" s="1" t="n">
        <v>7</v>
      </c>
      <c r="I100" s="1" t="n">
        <v>7</v>
      </c>
      <c r="L100" s="1" t="n">
        <v>7</v>
      </c>
      <c r="M100" s="1" t="n">
        <v>7</v>
      </c>
      <c r="N100" s="1" t="n">
        <v>7</v>
      </c>
      <c r="O100" s="1" t="n">
        <v>7</v>
      </c>
      <c r="P100" s="1" t="n">
        <v>7</v>
      </c>
      <c r="S100" s="1" t="n">
        <v>7</v>
      </c>
      <c r="T100" s="1" t="n">
        <v>7</v>
      </c>
      <c r="U100" s="1" t="n">
        <v>7</v>
      </c>
      <c r="V100" s="1" t="n">
        <v>7</v>
      </c>
      <c r="W100" s="1" t="n">
        <v>7</v>
      </c>
      <c r="Z100" s="1" t="n">
        <v>7</v>
      </c>
      <c r="AA100" s="1" t="n">
        <v>7</v>
      </c>
      <c r="AB100" s="1" t="n">
        <v>7</v>
      </c>
      <c r="AC100" s="1" t="n">
        <v>7</v>
      </c>
      <c r="AD100" s="1" t="n">
        <v>7</v>
      </c>
      <c r="AG100" s="1" t="n">
        <v>7</v>
      </c>
      <c r="AH100" s="1" t="n">
        <v>7</v>
      </c>
      <c r="AI100" s="1" t="n">
        <v>7</v>
      </c>
      <c r="AJ100" s="1" t="n">
        <v>7</v>
      </c>
      <c r="AK100" s="1" t="n">
        <v>7</v>
      </c>
      <c r="AN100" s="1" t="n">
        <v>7</v>
      </c>
      <c r="AO100" s="1" t="n">
        <v>7</v>
      </c>
      <c r="AP100" s="1" t="n">
        <v>7</v>
      </c>
      <c r="AQ100" s="1" t="n">
        <v>7</v>
      </c>
      <c r="AR100" s="1" t="n">
        <v>7</v>
      </c>
      <c r="AU100" s="1" t="n">
        <v>7</v>
      </c>
      <c r="AV100" s="1" t="n">
        <v>7</v>
      </c>
      <c r="AW100" s="1" t="n">
        <v>7</v>
      </c>
      <c r="AX100" s="1" t="n">
        <v>7</v>
      </c>
      <c r="AY100" s="1" t="n">
        <v>7</v>
      </c>
      <c r="BB100" s="1" t="n">
        <v>7</v>
      </c>
      <c r="BC100" s="1" t="n">
        <v>7</v>
      </c>
      <c r="BD100" s="1" t="n">
        <v>7</v>
      </c>
      <c r="BE100" s="1" t="n">
        <v>7</v>
      </c>
      <c r="BF100" s="1" t="n">
        <v>7</v>
      </c>
      <c r="BI100" s="1" t="n">
        <v>7</v>
      </c>
      <c r="BJ100" s="1" t="n">
        <v>7</v>
      </c>
      <c r="BK100" s="1" t="n">
        <v>7</v>
      </c>
      <c r="BL100" s="1" t="n">
        <v>7</v>
      </c>
      <c r="BM100" s="1" t="n">
        <v>7</v>
      </c>
      <c r="BP100" s="1" t="n">
        <v>7</v>
      </c>
      <c r="BQ100" s="1" t="n">
        <v>7</v>
      </c>
      <c r="BR100" s="1" t="n">
        <v>7</v>
      </c>
      <c r="BS100" s="1" t="n">
        <v>7</v>
      </c>
      <c r="BT100" s="1" t="n">
        <v>7</v>
      </c>
      <c r="BW100" s="1" t="n">
        <v>7</v>
      </c>
      <c r="BX100" s="1" t="n">
        <v>7</v>
      </c>
      <c r="BY100" s="1" t="n">
        <v>7</v>
      </c>
      <c r="BZ100" s="1" t="n">
        <v>7</v>
      </c>
      <c r="CA100" s="1" t="n">
        <v>7</v>
      </c>
      <c r="CD100" s="1" t="n">
        <v>7</v>
      </c>
      <c r="CE100" s="1" t="n">
        <v>7</v>
      </c>
      <c r="CF100" s="1" t="n">
        <v>7</v>
      </c>
      <c r="CG100" s="1" t="n">
        <v>7</v>
      </c>
      <c r="CH100" s="1" t="n">
        <v>7</v>
      </c>
      <c r="CK100" s="1" t="n">
        <v>7</v>
      </c>
      <c r="CL100" s="1" t="n">
        <v>7</v>
      </c>
      <c r="CM100" s="1" t="n">
        <v>7</v>
      </c>
      <c r="CN100" s="1" t="n">
        <v>7</v>
      </c>
      <c r="CO100" s="1" t="n">
        <v>7</v>
      </c>
      <c r="CR100" s="1" t="n">
        <v>7</v>
      </c>
      <c r="CS100" s="1" t="n">
        <v>7</v>
      </c>
      <c r="CT100" s="1" t="n">
        <v>7</v>
      </c>
      <c r="CU100" s="1" t="n">
        <v>7</v>
      </c>
      <c r="CV100" s="1" t="n">
        <v>7</v>
      </c>
      <c r="CY100" s="1" t="n">
        <v>7</v>
      </c>
      <c r="CZ100" s="1" t="n">
        <v>7</v>
      </c>
      <c r="DA100" s="1" t="n">
        <v>7</v>
      </c>
      <c r="DB100" s="1" t="n">
        <v>7</v>
      </c>
      <c r="DC100" s="1" t="n">
        <v>7</v>
      </c>
      <c r="DF100" s="1" t="n">
        <v>7</v>
      </c>
      <c r="DG100" s="1" t="n">
        <v>7</v>
      </c>
      <c r="DH100" s="1" t="n">
        <v>7</v>
      </c>
      <c r="DI100" s="1" t="n">
        <v>7</v>
      </c>
      <c r="DJ100" s="1" t="n">
        <v>7</v>
      </c>
      <c r="DM100" s="1" t="n">
        <v>7</v>
      </c>
      <c r="DN100" s="1" t="n">
        <v>7</v>
      </c>
      <c r="DO100" s="1" t="n">
        <v>7</v>
      </c>
      <c r="DP100" s="1" t="n">
        <v>7</v>
      </c>
      <c r="DS100" s="27"/>
    </row>
    <row r="101" customFormat="false" ht="15" hidden="false" customHeight="false" outlineLevel="0" collapsed="false">
      <c r="A101" s="33"/>
      <c r="C101" s="33"/>
      <c r="D101" s="1" t="n">
        <f aca="false">SUM(E101:EI101)</f>
        <v>0</v>
      </c>
      <c r="DS101" s="27"/>
    </row>
    <row r="102" customFormat="false" ht="15" hidden="false" customHeight="false" outlineLevel="0" collapsed="false">
      <c r="A102" s="33"/>
      <c r="C102" s="33"/>
    </row>
    <row r="103" customFormat="false" ht="15" hidden="false" customHeight="false" outlineLevel="0" collapsed="false">
      <c r="A103" s="33"/>
      <c r="C103" s="33"/>
    </row>
    <row r="104" customFormat="false" ht="15" hidden="false" customHeight="false" outlineLevel="0" collapsed="false">
      <c r="A104" s="33"/>
      <c r="C104" s="33"/>
    </row>
    <row r="105" customFormat="false" ht="15" hidden="false" customHeight="false" outlineLevel="0" collapsed="false">
      <c r="A105" s="33"/>
      <c r="C105" s="33"/>
    </row>
    <row r="106" customFormat="false" ht="15" hidden="false" customHeight="false" outlineLevel="0" collapsed="false">
      <c r="A106" s="33"/>
      <c r="C106" s="33"/>
    </row>
    <row r="107" customFormat="false" ht="15" hidden="false" customHeight="false" outlineLevel="0" collapsed="false">
      <c r="A107" s="33"/>
      <c r="C107" s="33"/>
    </row>
    <row r="108" customFormat="false" ht="15" hidden="false" customHeight="false" outlineLevel="0" collapsed="false">
      <c r="A108" s="33"/>
      <c r="C108" s="33"/>
    </row>
    <row r="109" customFormat="false" ht="15" hidden="false" customHeight="false" outlineLevel="0" collapsed="false">
      <c r="A109" s="33"/>
      <c r="C109" s="33"/>
    </row>
    <row r="110" customFormat="false" ht="15" hidden="false" customHeight="false" outlineLevel="0" collapsed="false">
      <c r="A110" s="33"/>
      <c r="C110" s="33"/>
    </row>
    <row r="111" customFormat="false" ht="15" hidden="false" customHeight="false" outlineLevel="0" collapsed="false">
      <c r="A111" s="33"/>
      <c r="C111" s="33"/>
    </row>
    <row r="112" customFormat="false" ht="15" hidden="false" customHeight="false" outlineLevel="0" collapsed="false">
      <c r="A112" s="33"/>
      <c r="C112" s="33"/>
    </row>
    <row r="113" customFormat="false" ht="15" hidden="false" customHeight="false" outlineLevel="0" collapsed="false">
      <c r="A113" s="33"/>
      <c r="C113" s="33"/>
    </row>
    <row r="114" customFormat="false" ht="15" hidden="false" customHeight="false" outlineLevel="0" collapsed="false">
      <c r="A114" s="33"/>
      <c r="C114" s="33"/>
    </row>
    <row r="115" customFormat="false" ht="15" hidden="false" customHeight="false" outlineLevel="0" collapsed="false">
      <c r="A115" s="33"/>
      <c r="C115" s="33"/>
    </row>
    <row r="116" customFormat="false" ht="15" hidden="false" customHeight="false" outlineLevel="0" collapsed="false">
      <c r="A116" s="33"/>
      <c r="C116" s="33"/>
    </row>
    <row r="117" customFormat="false" ht="15" hidden="false" customHeight="false" outlineLevel="0" collapsed="false">
      <c r="A117" s="33"/>
      <c r="C117" s="33"/>
    </row>
    <row r="118" customFormat="false" ht="15" hidden="false" customHeight="false" outlineLevel="0" collapsed="false">
      <c r="A118" s="33"/>
      <c r="C118" s="33"/>
    </row>
    <row r="119" customFormat="false" ht="15" hidden="false" customHeight="false" outlineLevel="0" collapsed="false">
      <c r="A119" s="33"/>
      <c r="C119" s="33"/>
    </row>
    <row r="120" customFormat="false" ht="15" hidden="false" customHeight="false" outlineLevel="0" collapsed="false">
      <c r="A120" s="33"/>
      <c r="C120" s="33"/>
    </row>
    <row r="121" customFormat="false" ht="15" hidden="false" customHeight="false" outlineLevel="0" collapsed="false">
      <c r="C121" s="33"/>
    </row>
    <row r="122" customFormat="false" ht="15" hidden="false" customHeight="false" outlineLevel="0" collapsed="false">
      <c r="C122" s="33"/>
    </row>
  </sheetData>
  <dataValidations count="3">
    <dataValidation allowBlank="true" errorStyle="stop" operator="between" showDropDown="false" showErrorMessage="true" showInputMessage="true" sqref="B6:B105 D6:D104 B106:B109" type="none">
      <formula1>0</formula1>
      <formula2>0</formula2>
    </dataValidation>
    <dataValidation allowBlank="true" errorStyle="stop" operator="between" showDropDown="false" showErrorMessage="true" showInputMessage="true" sqref="A6:A120" type="list">
      <formula1>'Project info summary'!$A$10:$A$30</formula1>
      <formula2>0</formula2>
    </dataValidation>
    <dataValidation allowBlank="true" errorStyle="stop" operator="between" showDropDown="false" showErrorMessage="true" showInputMessage="true" sqref="C6:C122" type="list">
      <formula1>'Project info summary'!$D$10:$D$14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9.15"/>
    <col collapsed="false" customWidth="true" hidden="false" outlineLevel="0" max="2" min="2" style="1" width="19.28"/>
    <col collapsed="false" customWidth="true" hidden="false" outlineLevel="0" max="3" min="3" style="1" width="14.14"/>
    <col collapsed="false" customWidth="true" hidden="false" outlineLevel="0" max="4" min="4" style="1" width="17.3"/>
    <col collapsed="false" customWidth="true" hidden="false" outlineLevel="0" max="7" min="7" style="1" width="24.43"/>
    <col collapsed="false" customWidth="true" hidden="false" outlineLevel="0" max="8" min="8" style="1" width="19.15"/>
    <col collapsed="false" customWidth="true" hidden="false" outlineLevel="0" max="9" min="9" style="1" width="16.72"/>
    <col collapsed="false" customWidth="true" hidden="false" outlineLevel="0" max="10" min="10" style="1" width="22.57"/>
    <col collapsed="false" customWidth="true" hidden="false" outlineLevel="0" max="11" min="11" style="1" width="19.86"/>
  </cols>
  <sheetData>
    <row r="1" customFormat="false" ht="15" hidden="false" customHeight="false" outlineLevel="0" collapsed="false">
      <c r="A1" s="2" t="s">
        <v>108</v>
      </c>
    </row>
    <row r="2" customFormat="false" ht="15" hidden="false" customHeight="false" outlineLevel="0" collapsed="false">
      <c r="A2" s="39" t="s">
        <v>109</v>
      </c>
      <c r="B2" s="39" t="s">
        <v>110</v>
      </c>
      <c r="C2" s="39" t="s">
        <v>111</v>
      </c>
      <c r="D2" s="39" t="s">
        <v>112</v>
      </c>
      <c r="G2" s="39" t="s">
        <v>113</v>
      </c>
      <c r="H2" s="40" t="n">
        <v>1580900</v>
      </c>
    </row>
    <row r="3" customFormat="false" ht="15" hidden="false" customHeight="false" outlineLevel="0" collapsed="false">
      <c r="A3" s="14" t="s">
        <v>15</v>
      </c>
      <c r="B3" s="14" t="n">
        <f aca="false">SUMIF(Gannt!$C$6:$C$99,Costs!A3,Gannt!$D$6:$D$101)</f>
        <v>553</v>
      </c>
      <c r="C3" s="16" t="n">
        <f aca="false">'Project info summary'!G10</f>
        <v>105</v>
      </c>
      <c r="D3" s="16" t="n">
        <f aca="false">B3*C3</f>
        <v>58065</v>
      </c>
      <c r="G3" s="39" t="s">
        <v>114</v>
      </c>
      <c r="H3" s="40" t="n">
        <v>985340</v>
      </c>
    </row>
    <row r="4" customFormat="false" ht="15" hidden="false" customHeight="false" outlineLevel="0" collapsed="false">
      <c r="A4" s="14" t="s">
        <v>19</v>
      </c>
      <c r="B4" s="14" t="n">
        <f aca="false">SUMIF(Gannt!$C$6:$C$99,Costs!A4,Gannt!$D$6:$D$101)</f>
        <v>301</v>
      </c>
      <c r="C4" s="16" t="n">
        <f aca="false">'Project info summary'!G11</f>
        <v>25</v>
      </c>
      <c r="D4" s="16" t="n">
        <f aca="false">B4*C4</f>
        <v>7525</v>
      </c>
    </row>
    <row r="5" customFormat="false" ht="15" hidden="false" customHeight="false" outlineLevel="0" collapsed="false">
      <c r="A5" s="18" t="s">
        <v>22</v>
      </c>
      <c r="B5" s="14" t="n">
        <f aca="false">SUMIF(Gannt!$C$6:$C$99,Costs!A5,Gannt!$D$6:$D$101)</f>
        <v>252</v>
      </c>
      <c r="C5" s="16" t="n">
        <f aca="false">'Project info summary'!G12</f>
        <v>45</v>
      </c>
      <c r="D5" s="16" t="n">
        <f aca="false">B5*C5</f>
        <v>11340</v>
      </c>
    </row>
    <row r="6" customFormat="false" ht="15" hidden="false" customHeight="false" outlineLevel="0" collapsed="false">
      <c r="A6" s="14" t="s">
        <v>25</v>
      </c>
      <c r="B6" s="14" t="n">
        <f aca="false">SUMIF(Gannt!$C$6:$C$99,Costs!A6,Gannt!$D$6:$D$101)</f>
        <v>385</v>
      </c>
      <c r="C6" s="16" t="n">
        <f aca="false">'Project info summary'!G13</f>
        <v>47.5</v>
      </c>
      <c r="D6" s="16" t="n">
        <f aca="false">B6*C6</f>
        <v>18287.5</v>
      </c>
    </row>
    <row r="7" customFormat="false" ht="15" hidden="false" customHeight="false" outlineLevel="0" collapsed="false">
      <c r="A7" s="18" t="s">
        <v>29</v>
      </c>
      <c r="B7" s="14" t="n">
        <f aca="false">SUMIF(Gannt!$C$6:$C$99,Costs!A7,Gannt!$D$6:$D$101)</f>
        <v>28</v>
      </c>
      <c r="C7" s="16" t="n">
        <f aca="false">'Project info summary'!G14</f>
        <v>73</v>
      </c>
      <c r="D7" s="16" t="n">
        <f aca="false">B7*C7</f>
        <v>2044</v>
      </c>
    </row>
    <row r="8" customFormat="false" ht="15" hidden="false" customHeight="false" outlineLevel="0" collapsed="false">
      <c r="A8" s="1" t="s">
        <v>107</v>
      </c>
      <c r="B8" s="1" t="n">
        <f aca="false">(Gannt!D100/7)</f>
        <v>84</v>
      </c>
      <c r="C8" s="1" t="n">
        <v>200</v>
      </c>
      <c r="D8" s="41" t="n">
        <f aca="false">B8*C8</f>
        <v>16800</v>
      </c>
    </row>
    <row r="11" customFormat="false" ht="15" hidden="false" customHeight="false" outlineLevel="0" collapsed="false">
      <c r="A11" s="42" t="s">
        <v>115</v>
      </c>
      <c r="B11" s="42"/>
      <c r="C11" s="42"/>
      <c r="D11" s="42"/>
      <c r="G11" s="43" t="s">
        <v>116</v>
      </c>
      <c r="H11" s="43"/>
      <c r="I11" s="43"/>
      <c r="J11" s="43"/>
      <c r="K11" s="43"/>
    </row>
    <row r="12" customFormat="false" ht="15" hidden="false" customHeight="false" outlineLevel="0" collapsed="false">
      <c r="A12" s="2" t="s">
        <v>117</v>
      </c>
      <c r="B12" s="2" t="s">
        <v>118</v>
      </c>
      <c r="C12" s="2" t="s">
        <v>119</v>
      </c>
      <c r="D12" s="2" t="s">
        <v>120</v>
      </c>
      <c r="G12" s="14"/>
      <c r="H12" s="39" t="s">
        <v>121</v>
      </c>
      <c r="I12" s="39" t="s">
        <v>122</v>
      </c>
      <c r="J12" s="39" t="s">
        <v>123</v>
      </c>
      <c r="K12" s="39" t="s">
        <v>124</v>
      </c>
    </row>
    <row r="13" customFormat="false" ht="26.85" hidden="false" customHeight="false" outlineLevel="0" collapsed="false">
      <c r="A13" s="44" t="s">
        <v>125</v>
      </c>
      <c r="B13" s="40" t="n">
        <v>50000</v>
      </c>
      <c r="C13" s="45" t="n">
        <v>1</v>
      </c>
      <c r="D13" s="40" t="n">
        <f aca="false">B13*C13</f>
        <v>50000</v>
      </c>
      <c r="G13" s="39" t="s">
        <v>113</v>
      </c>
      <c r="H13" s="40" t="n">
        <f aca="false">H2</f>
        <v>1580900</v>
      </c>
      <c r="I13" s="40" t="n">
        <f aca="false">H13*1.0875</f>
        <v>1719228.75</v>
      </c>
      <c r="J13" s="40" t="n">
        <f aca="false">I13*1.155</f>
        <v>1985709.20625</v>
      </c>
      <c r="K13" s="40" t="n">
        <f aca="false">J13*1.13</f>
        <v>2243851.4030625</v>
      </c>
    </row>
    <row r="14" customFormat="false" ht="39.55" hidden="false" customHeight="false" outlineLevel="0" collapsed="false">
      <c r="A14" s="44" t="s">
        <v>126</v>
      </c>
      <c r="B14" s="40" t="n">
        <v>4000</v>
      </c>
      <c r="C14" s="45" t="n">
        <v>1</v>
      </c>
      <c r="D14" s="40" t="n">
        <f aca="false">B14*C14</f>
        <v>4000</v>
      </c>
      <c r="G14" s="46" t="s">
        <v>114</v>
      </c>
      <c r="H14" s="40" t="n">
        <f aca="false">H3</f>
        <v>985340</v>
      </c>
      <c r="I14" s="40" t="n">
        <f aca="false">$H$3</f>
        <v>985340</v>
      </c>
      <c r="J14" s="40" t="n">
        <f aca="false">$H$3</f>
        <v>985340</v>
      </c>
      <c r="K14" s="40" t="n">
        <f aca="false">$H$3</f>
        <v>985340</v>
      </c>
    </row>
    <row r="15" customFormat="false" ht="39.55" hidden="false" customHeight="false" outlineLevel="0" collapsed="false">
      <c r="A15" s="44" t="s">
        <v>127</v>
      </c>
      <c r="B15" s="40" t="n">
        <v>15000</v>
      </c>
      <c r="C15" s="45" t="n">
        <v>1</v>
      </c>
      <c r="D15" s="40" t="n">
        <f aca="false">B15*C15</f>
        <v>15000</v>
      </c>
      <c r="G15" s="46" t="s">
        <v>128</v>
      </c>
      <c r="H15" s="16" t="n">
        <f aca="false">(D8+D19)-D17</f>
        <v>103000</v>
      </c>
      <c r="I15" s="14"/>
      <c r="J15" s="14"/>
      <c r="K15" s="14"/>
    </row>
    <row r="16" customFormat="false" ht="26.85" hidden="false" customHeight="false" outlineLevel="0" collapsed="false">
      <c r="A16" s="44" t="s">
        <v>129</v>
      </c>
      <c r="B16" s="40" t="n">
        <v>4000</v>
      </c>
      <c r="C16" s="45" t="n">
        <v>1</v>
      </c>
      <c r="D16" s="40" t="n">
        <f aca="false">B16*C16</f>
        <v>4000</v>
      </c>
      <c r="G16" s="46" t="s">
        <v>130</v>
      </c>
      <c r="H16" s="40" t="n">
        <f aca="false">D17+B22+B23</f>
        <v>41210</v>
      </c>
      <c r="I16" s="40" t="n">
        <f aca="false">H16</f>
        <v>41210</v>
      </c>
      <c r="J16" s="40" t="n">
        <f aca="false">H16</f>
        <v>41210</v>
      </c>
      <c r="K16" s="40" t="n">
        <f aca="false">H16</f>
        <v>41210</v>
      </c>
    </row>
    <row r="17" customFormat="false" ht="26.85" hidden="false" customHeight="false" outlineLevel="0" collapsed="false">
      <c r="A17" s="44" t="s">
        <v>131</v>
      </c>
      <c r="B17" s="40" t="n">
        <v>830</v>
      </c>
      <c r="C17" s="45" t="n">
        <v>12</v>
      </c>
      <c r="D17" s="40" t="n">
        <f aca="false">B17*C17</f>
        <v>9960</v>
      </c>
      <c r="G17" s="39" t="s">
        <v>132</v>
      </c>
      <c r="H17" s="40" t="n">
        <f aca="false">H14+H15+H16</f>
        <v>1129550</v>
      </c>
      <c r="I17" s="40" t="n">
        <f aca="false">I14+I15+I16</f>
        <v>1026550</v>
      </c>
      <c r="J17" s="40" t="n">
        <f aca="false">J14+J15+J16</f>
        <v>1026550</v>
      </c>
      <c r="K17" s="40" t="n">
        <f aca="false">K14+K15+K16</f>
        <v>1026550</v>
      </c>
    </row>
    <row r="18" customFormat="false" ht="39.55" hidden="false" customHeight="false" outlineLevel="0" collapsed="false">
      <c r="A18" s="44" t="s">
        <v>133</v>
      </c>
      <c r="B18" s="40" t="n">
        <v>13200</v>
      </c>
      <c r="C18" s="47" t="n">
        <v>1</v>
      </c>
      <c r="D18" s="48" t="n">
        <f aca="false">B18*C18</f>
        <v>13200</v>
      </c>
      <c r="G18" s="46" t="s">
        <v>134</v>
      </c>
      <c r="H18" s="16" t="n">
        <f aca="false">H13-H17</f>
        <v>451350</v>
      </c>
      <c r="I18" s="16" t="n">
        <f aca="false">(I13-I17)+H18</f>
        <v>1144028.75</v>
      </c>
      <c r="J18" s="16" t="n">
        <f aca="false">(J13-J17)+I18</f>
        <v>2103187.95625</v>
      </c>
      <c r="K18" s="16" t="n">
        <f aca="false">(K13-K17)+J18</f>
        <v>3320489.3593125</v>
      </c>
    </row>
    <row r="19" customFormat="false" ht="15" hidden="false" customHeight="false" outlineLevel="0" collapsed="false">
      <c r="C19" s="39" t="s">
        <v>120</v>
      </c>
      <c r="D19" s="40" t="n">
        <f aca="false">SUM(D13:D18)</f>
        <v>96160</v>
      </c>
    </row>
    <row r="20" customFormat="false" ht="15" hidden="false" customHeight="false" outlineLevel="0" collapsed="false">
      <c r="A20" s="49" t="s">
        <v>130</v>
      </c>
      <c r="B20" s="49"/>
      <c r="C20" s="49"/>
      <c r="D20" s="49"/>
    </row>
    <row r="22" customFormat="false" ht="26.85" hidden="false" customHeight="false" outlineLevel="0" collapsed="false">
      <c r="A22" s="44" t="s">
        <v>135</v>
      </c>
      <c r="B22" s="40" t="n">
        <v>22000</v>
      </c>
    </row>
    <row r="23" customFormat="false" ht="39.55" hidden="false" customHeight="false" outlineLevel="0" collapsed="false">
      <c r="A23" s="44" t="s">
        <v>136</v>
      </c>
      <c r="B23" s="40" t="n">
        <v>9250</v>
      </c>
    </row>
  </sheetData>
  <mergeCells count="3">
    <mergeCell ref="A11:D11"/>
    <mergeCell ref="G11:K11"/>
    <mergeCell ref="A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694C6FDE3F8428E531DB9CF9F3F5F" ma:contentTypeVersion="18" ma:contentTypeDescription="Create a new document." ma:contentTypeScope="" ma:versionID="4bbe01242fdb04b90dbe0030c252d15b">
  <xsd:schema xmlns:xsd="http://www.w3.org/2001/XMLSchema" xmlns:xs="http://www.w3.org/2001/XMLSchema" xmlns:p="http://schemas.microsoft.com/office/2006/metadata/properties" xmlns:ns2="03002ca9-34ad-434c-ac87-26756c0cdd06" xmlns:ns3="477676f7-3aaa-488c-8018-0d93153801a5" targetNamespace="http://schemas.microsoft.com/office/2006/metadata/properties" ma:root="true" ma:fieldsID="66218703adeddf780c998b667948e228" ns2:_="" ns3:_="">
    <xsd:import namespace="03002ca9-34ad-434c-ac87-26756c0cdd06"/>
    <xsd:import namespace="477676f7-3aaa-488c-8018-0d9315380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02ca9-34ad-434c-ac87-26756c0cd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676f7-3aaa-488c-8018-0d93153801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c00422-94a1-4b1d-81f8-6ce959344e31}" ma:internalName="TaxCatchAll" ma:showField="CatchAllData" ma:web="477676f7-3aaa-488c-8018-0d93153801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002ca9-34ad-434c-ac87-26756c0cdd06">
      <Terms xmlns="http://schemas.microsoft.com/office/infopath/2007/PartnerControls"/>
    </lcf76f155ced4ddcb4097134ff3c332f>
    <TaxCatchAll xmlns="477676f7-3aaa-488c-8018-0d93153801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694C6FDE3F8428E531DB9CF9F3F5F" ma:contentTypeVersion="21" ma:contentTypeDescription="Create a new document." ma:contentTypeScope="" ma:versionID="0f5042e39754e3a4fc46a21ac827c658">
  <xsd:schema xmlns:xsd="http://www.w3.org/2001/XMLSchema" xmlns:xs="http://www.w3.org/2001/XMLSchema" xmlns:p="http://schemas.microsoft.com/office/2006/metadata/properties" xmlns:ns1="http://schemas.microsoft.com/sharepoint/v3" xmlns:ns2="03002ca9-34ad-434c-ac87-26756c0cdd06" xmlns:ns3="477676f7-3aaa-488c-8018-0d93153801a5" targetNamespace="http://schemas.microsoft.com/office/2006/metadata/properties" ma:root="true" ma:fieldsID="3e9ad5d561d7a2e14aa6518fd24ad718" ns1:_="" ns2:_="" ns3:_="">
    <xsd:import namespace="http://schemas.microsoft.com/sharepoint/v3"/>
    <xsd:import namespace="03002ca9-34ad-434c-ac87-26756c0cdd06"/>
    <xsd:import namespace="477676f7-3aaa-488c-8018-0d9315380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02ca9-34ad-434c-ac87-26756c0cd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676f7-3aaa-488c-8018-0d93153801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c00422-94a1-4b1d-81f8-6ce959344e31}" ma:internalName="TaxCatchAll" ma:showField="CatchAllData" ma:web="477676f7-3aaa-488c-8018-0d93153801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002ca9-34ad-434c-ac87-26756c0cdd06">
      <Terms xmlns="http://schemas.microsoft.com/office/infopath/2007/PartnerControls"/>
    </lcf76f155ced4ddcb4097134ff3c332f>
    <TaxCatchAll xmlns="477676f7-3aaa-488c-8018-0d93153801a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1588064-A27B-4AB8-8CCC-B88AB16FE87B}"/>
</file>

<file path=customXml/itemProps2.xml><?xml version="1.0" encoding="utf-8"?>
<ds:datastoreItem xmlns:ds="http://schemas.openxmlformats.org/officeDocument/2006/customXml" ds:itemID="{B62963C1-00CA-4F0D-9AD8-8EBAE6023E35}"/>
</file>

<file path=customXml/itemProps3.xml><?xml version="1.0" encoding="utf-8"?>
<ds:datastoreItem xmlns:ds="http://schemas.openxmlformats.org/officeDocument/2006/customXml" ds:itemID="{89110850-EB1A-4708-B602-79D65CE04A49}"/>
</file>

<file path=customXml/itemProps4.xml><?xml version="1.0" encoding="utf-8"?>
<ds:datastoreItem xmlns:ds="http://schemas.openxmlformats.org/officeDocument/2006/customXml" ds:itemID="{7401E6CD-778C-4BD9-AC2B-9505489B2066}"/>
</file>

<file path=customXml/itemProps5.xml><?xml version="1.0" encoding="utf-8"?>
<ds:datastoreItem xmlns:ds="http://schemas.openxmlformats.org/officeDocument/2006/customXml" ds:itemID="{0F174F22-D29E-4373-9BFC-ACAF82D0EBD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Ian Gibson</cp:lastModifiedBy>
  <cp:revision>5</cp:revision>
  <dcterms:created xsi:type="dcterms:W3CDTF">2024-09-23T11:57:42Z</dcterms:created>
  <dcterms:modified xsi:type="dcterms:W3CDTF">2025-05-07T08:07:32Z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0x010100074694C6FDE3F8428E531DB9CF9F3F5F</vt:lpwstr>
  </property>
  <property fmtid="{D5CDD505-2E9C-101B-9397-08002B2CF9AE}" pid="3" name="MediaServiceImageTags">
    <vt:lpwstr/>
  </property>
</Properties>
</file>