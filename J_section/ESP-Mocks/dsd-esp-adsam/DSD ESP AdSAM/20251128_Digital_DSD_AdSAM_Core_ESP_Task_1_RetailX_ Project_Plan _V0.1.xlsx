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arsoneducationinc.sharepoint.com/sites/COREBTECandApprenticeshipsTechnical/Shared Documents/T Levels/TQ Development and Review/Gen 2 Wave 1/Digi development folders/ESP development - MATT/ESP SHARED WRITER AREA/AdSAM drafts/FINAL TYPSET ESP FOR SUBMISSION/DSD ESP AdSAM/"/>
    </mc:Choice>
  </mc:AlternateContent>
  <xr:revisionPtr revIDLastSave="52" documentId="11_D3ED0187DD6D92467686051FAB7EF6363D6EDB09" xr6:coauthVersionLast="47" xr6:coauthVersionMax="47" xr10:uidLastSave="{E8BE608F-CB89-4816-B174-820FDCA377A9}"/>
  <bookViews>
    <workbookView xWindow="-15165" yWindow="15" windowWidth="14400" windowHeight="11400" tabRatio="500" activeTab="3" xr2:uid="{00000000-000D-0000-FFFF-FFFF00000000}"/>
  </bookViews>
  <sheets>
    <sheet name="Project info summary" sheetId="1" r:id="rId1"/>
    <sheet name="Gantt" sheetId="2" r:id="rId2"/>
    <sheet name="Costs" sheetId="3" r:id="rId3"/>
    <sheet name="Copyright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5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6" i="2"/>
  <c r="B7" i="3"/>
  <c r="D7" i="3" s="1"/>
  <c r="B6" i="3"/>
  <c r="D6" i="3" s="1"/>
  <c r="B5" i="3"/>
  <c r="D5" i="3" s="1"/>
  <c r="B4" i="3"/>
  <c r="D4" i="3" s="1"/>
  <c r="B3" i="3"/>
  <c r="D3" i="3" s="1"/>
  <c r="B5" i="1"/>
</calcChain>
</file>

<file path=xl/sharedStrings.xml><?xml version="1.0" encoding="utf-8"?>
<sst xmlns="http://schemas.openxmlformats.org/spreadsheetml/2006/main" count="232" uniqueCount="76">
  <si>
    <t>RetailX Group Ltd  Digital Solution</t>
  </si>
  <si>
    <t>Key Project Info</t>
  </si>
  <si>
    <t>Intended start Date</t>
  </si>
  <si>
    <t>Requested time scale (Weeks)</t>
  </si>
  <si>
    <t>Requested time scale (Days)</t>
  </si>
  <si>
    <t>Hours worked per day per Staff member</t>
  </si>
  <si>
    <t>Predicted staff Absence (Days)</t>
  </si>
  <si>
    <t xml:space="preserve">Task </t>
  </si>
  <si>
    <t xml:space="preserve">Estimated number of work hours </t>
  </si>
  <si>
    <t>Staff member</t>
  </si>
  <si>
    <t>Role</t>
  </si>
  <si>
    <t>Key</t>
  </si>
  <si>
    <t>Pay per hour</t>
  </si>
  <si>
    <t>Upgrade infrastructure</t>
  </si>
  <si>
    <t>Priya Patel</t>
  </si>
  <si>
    <t>Senior Software Engineer</t>
  </si>
  <si>
    <t>Install physical server</t>
  </si>
  <si>
    <t>Alex Morgan</t>
  </si>
  <si>
    <t>Junior Software Engineer</t>
  </si>
  <si>
    <t>Deploy and configure cloud server</t>
  </si>
  <si>
    <t>Samir Khan</t>
  </si>
  <si>
    <t>Develop module – Stock and inventory management</t>
  </si>
  <si>
    <t>Jamie Lee</t>
  </si>
  <si>
    <t>Database Engineer</t>
  </si>
  <si>
    <t>Develop module - User interface</t>
  </si>
  <si>
    <t>Morgan Evans</t>
  </si>
  <si>
    <t>Network Engineer</t>
  </si>
  <si>
    <t>Develop module – Customer management and rewards</t>
  </si>
  <si>
    <t>Develop module - Back-end database</t>
  </si>
  <si>
    <t>Develop module - Sales analysis</t>
  </si>
  <si>
    <t xml:space="preserve">
Deploy modules</t>
  </si>
  <si>
    <t>8
(per module)</t>
  </si>
  <si>
    <t xml:space="preserve">
Unit testing</t>
  </si>
  <si>
    <t>21
(per module)</t>
  </si>
  <si>
    <t xml:space="preserve">
Integration testing</t>
  </si>
  <si>
    <t>14
(per module)</t>
  </si>
  <si>
    <t xml:space="preserve">
Fixing and regression testing for major fault</t>
  </si>
  <si>
    <t>21
(per fault found)</t>
  </si>
  <si>
    <t xml:space="preserve">
Fixing and regression testing for minor fault</t>
  </si>
  <si>
    <t>10
(per fault found)</t>
  </si>
  <si>
    <t>Deploy and configure cloud backup system</t>
  </si>
  <si>
    <t>User/acceptance testing</t>
  </si>
  <si>
    <t>Create a test plan</t>
  </si>
  <si>
    <t>Training RetailX staff to use new system</t>
  </si>
  <si>
    <t>Update website</t>
  </si>
  <si>
    <t>Build and deploy customer rewards app</t>
  </si>
  <si>
    <t>Hardware testing</t>
  </si>
  <si>
    <t>Monday</t>
  </si>
  <si>
    <t>Tuesday</t>
  </si>
  <si>
    <t>Wednesday</t>
  </si>
  <si>
    <t>Thursday</t>
  </si>
  <si>
    <t>Friday</t>
  </si>
  <si>
    <t>Saturday</t>
  </si>
  <si>
    <t>Sunday</t>
  </si>
  <si>
    <t>Task</t>
  </si>
  <si>
    <t>Sub Task/Notes</t>
  </si>
  <si>
    <t>Staff assigned</t>
  </si>
  <si>
    <t>Total hours assigned to task</t>
  </si>
  <si>
    <t>Staf Costs</t>
  </si>
  <si>
    <t>Staff</t>
  </si>
  <si>
    <t>Hours worked</t>
  </si>
  <si>
    <t>Rate of pay</t>
  </si>
  <si>
    <t>Cost for project</t>
  </si>
  <si>
    <t>Candidate surname</t>
  </si>
  <si>
    <t>xx</t>
  </si>
  <si>
    <t>Other names</t>
  </si>
  <si>
    <t>Centre number</t>
  </si>
  <si>
    <t>Learner ID</t>
  </si>
  <si>
    <t>Copyright and Acknowledgements</t>
  </si>
  <si>
    <t>‘T-LEVELS’ and ‘T Level’ are registered trademarks of the Department for Education. Pearson is authorised by the Department for Education to develop and deliver this T Level Technical Qualification.</t>
  </si>
  <si>
    <t>Pearson and logo are registered trademarks of Pearson.</t>
  </si>
  <si>
    <t>Version 1.0 - October 2025</t>
  </si>
  <si>
    <t>T Level Technical Qualification in Digital Software Development (Level 3)</t>
  </si>
  <si>
    <t>Task 1 RetailX Project Plan</t>
  </si>
  <si>
    <t xml:space="preserve">Employer Set Project </t>
  </si>
  <si>
    <t>Copyright in this document belongs to, and is used under licence from the Department for Education, ©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</si>
</sst>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;[Red]&quot;-£&quot;#,##0.00"/>
  </numFmts>
  <fonts count="10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name val="Trebuchet MS"/>
      <charset val="1"/>
    </font>
    <font>
      <sz val="11"/>
      <color rgb="FF242424"/>
      <name val="Aptos Narrow"/>
      <charset val="1"/>
    </font>
    <font>
      <sz val="11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theme="1"/>
      <name val="Plus Jakarta Sans"/>
    </font>
    <font>
      <sz val="11"/>
      <color theme="1"/>
      <name val="Plus Jakarta Sans"/>
    </font>
    <font>
      <sz val="12"/>
      <color rgb="FF000000"/>
      <name val="Plus Jakarta Sans"/>
    </font>
    <font>
      <b/>
      <sz val="12"/>
      <color rgb="FF000000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rgb="FFBEBEBE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2" xfId="0" applyFont="1" applyBorder="1"/>
    <xf numFmtId="14" fontId="0" fillId="0" borderId="3" xfId="0" applyNumberForma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2" fillId="2" borderId="6" xfId="0" applyFont="1" applyFill="1" applyBorder="1" applyAlignment="1">
      <alignment wrapText="1"/>
    </xf>
    <xf numFmtId="0" fontId="0" fillId="0" borderId="7" xfId="0" applyBorder="1"/>
    <xf numFmtId="0" fontId="0" fillId="3" borderId="7" xfId="0" applyFill="1" applyBorder="1"/>
    <xf numFmtId="164" fontId="0" fillId="0" borderId="7" xfId="0" applyNumberFormat="1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3" fillId="0" borderId="7" xfId="0" applyFont="1" applyBorder="1" applyAlignment="1">
      <alignment horizontal="left" wrapText="1"/>
    </xf>
    <xf numFmtId="14" fontId="0" fillId="0" borderId="0" xfId="0" applyNumberFormat="1"/>
    <xf numFmtId="0" fontId="1" fillId="0" borderId="0" xfId="0" applyFont="1" applyAlignment="1">
      <alignment wrapText="1"/>
    </xf>
    <xf numFmtId="0" fontId="1" fillId="0" borderId="7" xfId="0" applyFont="1" applyBorder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2" borderId="7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EBE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100013</xdr:rowOff>
    </xdr:from>
    <xdr:to>
      <xdr:col>1</xdr:col>
      <xdr:colOff>943331</xdr:colOff>
      <xdr:row>5</xdr:row>
      <xdr:rowOff>163513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6B5DF-B3BC-47F5-BB59-A731A7CC7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013"/>
          <a:ext cx="2788800" cy="980281"/>
        </a:xfrm>
        <a:prstGeom prst="rect">
          <a:avLst/>
        </a:prstGeom>
      </xdr:spPr>
    </xdr:pic>
    <xdr:clientData/>
  </xdr:twoCellAnchor>
  <xdr:twoCellAnchor editAs="oneCell">
    <xdr:from>
      <xdr:col>3</xdr:col>
      <xdr:colOff>7939</xdr:colOff>
      <xdr:row>2</xdr:row>
      <xdr:rowOff>167880</xdr:rowOff>
    </xdr:from>
    <xdr:to>
      <xdr:col>7</xdr:col>
      <xdr:colOff>467518</xdr:colOff>
      <xdr:row>6</xdr:row>
      <xdr:rowOff>42382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A04C42-D0A2-4E6D-BB6B-D5A113E6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8064" y="548880"/>
          <a:ext cx="2888454" cy="5888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B30" totalsRowShown="0">
  <autoFilter ref="A9:B30" xr:uid="{00000000-0009-0000-0100-000001000000}"/>
  <tableColumns count="2">
    <tableColumn id="1" xr3:uid="{00000000-0010-0000-0000-000001000000}" name="Task "/>
    <tableColumn id="2" xr3:uid="{00000000-0010-0000-0000-000002000000}" name="Estimated number of work hours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8" zoomScaleNormal="100" workbookViewId="0">
      <selection activeCell="D10" sqref="D10:D11"/>
    </sheetView>
  </sheetViews>
  <sheetFormatPr defaultColWidth="8.54296875" defaultRowHeight="14.25" customHeight="1" x14ac:dyDescent="0.35"/>
  <cols>
    <col min="1" max="1" width="36.81640625" customWidth="1"/>
    <col min="2" max="2" width="18" customWidth="1"/>
    <col min="3" max="3" width="14.453125" customWidth="1"/>
    <col min="4" max="4" width="14.1796875" customWidth="1"/>
    <col min="5" max="5" width="23.1796875" customWidth="1"/>
  </cols>
  <sheetData>
    <row r="1" spans="1:7" ht="14.5" x14ac:dyDescent="0.35">
      <c r="A1" s="1" t="s">
        <v>0</v>
      </c>
    </row>
    <row r="2" spans="1:7" ht="14.5" x14ac:dyDescent="0.35">
      <c r="A2" s="33" t="s">
        <v>1</v>
      </c>
      <c r="B2" s="33"/>
    </row>
    <row r="3" spans="1:7" ht="14.5" x14ac:dyDescent="0.35">
      <c r="A3" s="2" t="s">
        <v>2</v>
      </c>
      <c r="B3" s="3">
        <v>45662</v>
      </c>
    </row>
    <row r="4" spans="1:7" ht="14.5" x14ac:dyDescent="0.35">
      <c r="A4" s="2" t="s">
        <v>3</v>
      </c>
      <c r="B4" s="4">
        <v>18</v>
      </c>
    </row>
    <row r="5" spans="1:7" ht="14.5" x14ac:dyDescent="0.35">
      <c r="A5" s="2" t="s">
        <v>4</v>
      </c>
      <c r="B5" s="4">
        <f>B4*7</f>
        <v>126</v>
      </c>
    </row>
    <row r="6" spans="1:7" ht="14.5" x14ac:dyDescent="0.35">
      <c r="A6" s="2" t="s">
        <v>5</v>
      </c>
      <c r="B6" s="4">
        <v>8</v>
      </c>
    </row>
    <row r="7" spans="1:7" ht="14.5" x14ac:dyDescent="0.35">
      <c r="A7" s="5" t="s">
        <v>6</v>
      </c>
      <c r="B7" s="6">
        <v>14</v>
      </c>
    </row>
    <row r="9" spans="1:7" ht="43.5" customHeight="1" x14ac:dyDescent="0.35">
      <c r="A9" s="21" t="s">
        <v>7</v>
      </c>
      <c r="B9" s="21" t="s">
        <v>8</v>
      </c>
      <c r="D9" s="7" t="s">
        <v>9</v>
      </c>
      <c r="E9" s="7" t="s">
        <v>10</v>
      </c>
      <c r="F9" s="7" t="s">
        <v>11</v>
      </c>
      <c r="G9" s="7" t="s">
        <v>12</v>
      </c>
    </row>
    <row r="10" spans="1:7" ht="14.5" x14ac:dyDescent="0.35">
      <c r="A10" s="22" t="s">
        <v>13</v>
      </c>
      <c r="B10" s="23">
        <v>72</v>
      </c>
      <c r="D10" s="8" t="s">
        <v>14</v>
      </c>
      <c r="E10" s="8" t="s">
        <v>15</v>
      </c>
      <c r="F10" s="9"/>
      <c r="G10" s="10">
        <v>110</v>
      </c>
    </row>
    <row r="11" spans="1:7" ht="14.5" x14ac:dyDescent="0.35">
      <c r="A11" s="22" t="s">
        <v>16</v>
      </c>
      <c r="B11" s="23">
        <v>24</v>
      </c>
      <c r="D11" s="8" t="s">
        <v>17</v>
      </c>
      <c r="E11" s="8" t="s">
        <v>18</v>
      </c>
      <c r="F11" s="11"/>
      <c r="G11" s="10">
        <v>38</v>
      </c>
    </row>
    <row r="12" spans="1:7" ht="14.5" x14ac:dyDescent="0.35">
      <c r="A12" s="8" t="s">
        <v>19</v>
      </c>
      <c r="B12" s="23">
        <v>20</v>
      </c>
      <c r="D12" s="8" t="s">
        <v>20</v>
      </c>
      <c r="E12" s="8" t="s">
        <v>18</v>
      </c>
      <c r="F12" s="12"/>
      <c r="G12" s="10">
        <v>47</v>
      </c>
    </row>
    <row r="13" spans="1:7" ht="33" customHeight="1" x14ac:dyDescent="0.35">
      <c r="A13" s="22" t="s">
        <v>21</v>
      </c>
      <c r="B13" s="23">
        <v>108</v>
      </c>
      <c r="D13" s="8" t="s">
        <v>22</v>
      </c>
      <c r="E13" s="8" t="s">
        <v>23</v>
      </c>
      <c r="F13" s="13"/>
      <c r="G13" s="10">
        <v>52</v>
      </c>
    </row>
    <row r="14" spans="1:7" ht="14.5" x14ac:dyDescent="0.35">
      <c r="A14" s="22" t="s">
        <v>24</v>
      </c>
      <c r="B14" s="23">
        <v>65</v>
      </c>
      <c r="D14" s="8" t="s">
        <v>25</v>
      </c>
      <c r="E14" s="8" t="s">
        <v>26</v>
      </c>
      <c r="F14" s="14"/>
      <c r="G14" s="10">
        <v>78</v>
      </c>
    </row>
    <row r="15" spans="1:7" ht="29" x14ac:dyDescent="0.35">
      <c r="A15" s="22" t="s">
        <v>27</v>
      </c>
      <c r="B15" s="23">
        <v>142</v>
      </c>
    </row>
    <row r="16" spans="1:7" ht="14.5" x14ac:dyDescent="0.35">
      <c r="A16" s="22" t="s">
        <v>28</v>
      </c>
      <c r="B16" s="23">
        <v>120</v>
      </c>
    </row>
    <row r="17" spans="1:2" ht="14.5" x14ac:dyDescent="0.35">
      <c r="A17" s="22" t="s">
        <v>29</v>
      </c>
      <c r="B17" s="23">
        <v>100</v>
      </c>
    </row>
    <row r="18" spans="1:2" ht="29" x14ac:dyDescent="0.35">
      <c r="A18" s="22" t="s">
        <v>30</v>
      </c>
      <c r="B18" s="24" t="s">
        <v>31</v>
      </c>
    </row>
    <row r="19" spans="1:2" ht="29" x14ac:dyDescent="0.35">
      <c r="A19" s="22" t="s">
        <v>32</v>
      </c>
      <c r="B19" s="24" t="s">
        <v>33</v>
      </c>
    </row>
    <row r="20" spans="1:2" ht="29" x14ac:dyDescent="0.35">
      <c r="A20" s="22" t="s">
        <v>34</v>
      </c>
      <c r="B20" s="24" t="s">
        <v>35</v>
      </c>
    </row>
    <row r="21" spans="1:2" ht="29" x14ac:dyDescent="0.35">
      <c r="A21" s="22" t="s">
        <v>36</v>
      </c>
      <c r="B21" s="24" t="s">
        <v>37</v>
      </c>
    </row>
    <row r="22" spans="1:2" ht="29" x14ac:dyDescent="0.35">
      <c r="A22" s="22" t="s">
        <v>38</v>
      </c>
      <c r="B22" s="24" t="s">
        <v>39</v>
      </c>
    </row>
    <row r="23" spans="1:2" ht="14.5" x14ac:dyDescent="0.35">
      <c r="A23" s="22" t="s">
        <v>40</v>
      </c>
      <c r="B23" s="23">
        <v>20</v>
      </c>
    </row>
    <row r="24" spans="1:2" ht="34.5" customHeight="1" x14ac:dyDescent="0.35">
      <c r="A24" s="22" t="s">
        <v>41</v>
      </c>
      <c r="B24" s="23">
        <v>35</v>
      </c>
    </row>
    <row r="25" spans="1:2" ht="16.5" customHeight="1" x14ac:dyDescent="0.35">
      <c r="A25" s="22" t="s">
        <v>42</v>
      </c>
      <c r="B25" s="23">
        <v>21</v>
      </c>
    </row>
    <row r="26" spans="1:2" ht="37.5" customHeight="1" x14ac:dyDescent="0.35">
      <c r="A26" s="22" t="s">
        <v>43</v>
      </c>
      <c r="B26" s="23">
        <v>34</v>
      </c>
    </row>
    <row r="27" spans="1:2" ht="16.5" customHeight="1" x14ac:dyDescent="0.35">
      <c r="A27" s="8" t="s">
        <v>44</v>
      </c>
      <c r="B27" s="23">
        <v>40</v>
      </c>
    </row>
    <row r="28" spans="1:2" ht="14.5" x14ac:dyDescent="0.35">
      <c r="A28" s="8" t="s">
        <v>45</v>
      </c>
      <c r="B28" s="23">
        <v>50</v>
      </c>
    </row>
    <row r="29" spans="1:2" ht="14.5" x14ac:dyDescent="0.35">
      <c r="A29" s="15" t="s">
        <v>46</v>
      </c>
      <c r="B29" s="25">
        <v>30</v>
      </c>
    </row>
    <row r="30" spans="1:2" ht="14.5" x14ac:dyDescent="0.35">
      <c r="A30" s="19"/>
      <c r="B30" s="20"/>
    </row>
  </sheetData>
  <mergeCells count="1">
    <mergeCell ref="A2:B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D155"/>
  <sheetViews>
    <sheetView zoomScaleNormal="100" workbookViewId="0">
      <pane xSplit="4" ySplit="4" topLeftCell="E127" activePane="bottomRight" state="frozen"/>
      <selection pane="topRight" activeCell="P1" sqref="P1"/>
      <selection pane="bottomLeft" activeCell="A5" sqref="A5"/>
      <selection pane="bottomRight" activeCell="D159" sqref="D159"/>
    </sheetView>
  </sheetViews>
  <sheetFormatPr defaultColWidth="8.54296875" defaultRowHeight="14.25" customHeight="1" x14ac:dyDescent="0.35"/>
  <cols>
    <col min="1" max="1" width="37.54296875" customWidth="1"/>
    <col min="2" max="2" width="26.7265625" customWidth="1"/>
    <col min="3" max="4" width="19.7265625" customWidth="1"/>
    <col min="5" max="6" width="11.1796875" customWidth="1"/>
    <col min="7" max="7" width="11.54296875" customWidth="1"/>
    <col min="8" max="13" width="11.1796875" customWidth="1"/>
    <col min="14" max="14" width="11.54296875" customWidth="1"/>
    <col min="15" max="20" width="11.1796875" customWidth="1"/>
    <col min="21" max="21" width="11.54296875" customWidth="1"/>
    <col min="22" max="27" width="11.1796875" customWidth="1"/>
    <col min="28" max="28" width="11.54296875" customWidth="1"/>
    <col min="29" max="34" width="11.1796875" customWidth="1"/>
    <col min="35" max="35" width="11.54296875" customWidth="1"/>
    <col min="36" max="41" width="11.1796875" customWidth="1"/>
    <col min="42" max="42" width="11.54296875" customWidth="1"/>
    <col min="43" max="48" width="11.1796875" customWidth="1"/>
    <col min="49" max="49" width="11.54296875" customWidth="1"/>
    <col min="50" max="55" width="11.1796875" customWidth="1"/>
    <col min="56" max="56" width="11.54296875" customWidth="1"/>
    <col min="57" max="62" width="11.1796875" customWidth="1"/>
    <col min="63" max="63" width="11.54296875" customWidth="1"/>
    <col min="64" max="69" width="11.1796875" customWidth="1"/>
    <col min="70" max="70" width="11.54296875" customWidth="1"/>
    <col min="71" max="76" width="11.1796875" customWidth="1"/>
    <col min="77" max="77" width="11.54296875" customWidth="1"/>
    <col min="78" max="83" width="11.1796875" customWidth="1"/>
    <col min="84" max="84" width="11.54296875" customWidth="1"/>
    <col min="85" max="90" width="11.1796875" customWidth="1"/>
    <col min="91" max="91" width="11.54296875" customWidth="1"/>
    <col min="92" max="97" width="11.1796875" customWidth="1"/>
    <col min="98" max="98" width="11.54296875" customWidth="1"/>
    <col min="99" max="104" width="11.1796875" customWidth="1"/>
    <col min="105" max="105" width="11.54296875" customWidth="1"/>
    <col min="106" max="111" width="11.1796875" customWidth="1"/>
    <col min="112" max="112" width="11.54296875" customWidth="1"/>
    <col min="113" max="118" width="11.1796875" customWidth="1"/>
    <col min="119" max="119" width="11.54296875" customWidth="1"/>
    <col min="120" max="125" width="11.1796875" customWidth="1"/>
    <col min="126" max="126" width="11.54296875" customWidth="1"/>
    <col min="127" max="132" width="11.1796875" customWidth="1"/>
    <col min="133" max="133" width="11.54296875" customWidth="1"/>
    <col min="134" max="139" width="11.1796875" customWidth="1"/>
    <col min="140" max="140" width="11.54296875" customWidth="1"/>
    <col min="141" max="146" width="11.1796875" customWidth="1"/>
    <col min="147" max="147" width="11.54296875" customWidth="1"/>
    <col min="148" max="153" width="11.1796875" customWidth="1"/>
    <col min="154" max="154" width="11.54296875" customWidth="1"/>
    <col min="155" max="158" width="11.1796875" customWidth="1"/>
    <col min="16381" max="16384" width="10.1796875" customWidth="1"/>
  </cols>
  <sheetData>
    <row r="2" spans="1:160" ht="14.5" x14ac:dyDescent="0.35"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v>61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>
        <v>74</v>
      </c>
      <c r="CA2">
        <v>75</v>
      </c>
      <c r="CB2">
        <v>76</v>
      </c>
      <c r="CC2">
        <v>77</v>
      </c>
      <c r="CD2">
        <v>78</v>
      </c>
      <c r="CE2">
        <v>79</v>
      </c>
      <c r="CF2">
        <v>80</v>
      </c>
      <c r="CG2">
        <v>81</v>
      </c>
      <c r="CH2">
        <v>82</v>
      </c>
      <c r="CI2">
        <v>83</v>
      </c>
      <c r="CJ2">
        <v>84</v>
      </c>
      <c r="CK2">
        <v>85</v>
      </c>
      <c r="CL2">
        <v>86</v>
      </c>
      <c r="CM2">
        <v>87</v>
      </c>
      <c r="CN2">
        <v>88</v>
      </c>
      <c r="CO2">
        <v>89</v>
      </c>
      <c r="CP2">
        <v>90</v>
      </c>
      <c r="CQ2">
        <v>91</v>
      </c>
      <c r="CR2">
        <v>92</v>
      </c>
      <c r="CS2">
        <v>93</v>
      </c>
      <c r="CT2">
        <v>94</v>
      </c>
      <c r="CU2">
        <v>95</v>
      </c>
      <c r="CV2">
        <v>96</v>
      </c>
      <c r="CW2">
        <v>97</v>
      </c>
      <c r="CX2">
        <v>98</v>
      </c>
      <c r="CY2">
        <v>99</v>
      </c>
      <c r="CZ2">
        <v>100</v>
      </c>
      <c r="DA2">
        <v>101</v>
      </c>
      <c r="DB2">
        <v>102</v>
      </c>
      <c r="DC2">
        <v>103</v>
      </c>
      <c r="DD2">
        <v>104</v>
      </c>
      <c r="DE2">
        <v>105</v>
      </c>
      <c r="DF2">
        <v>106</v>
      </c>
      <c r="DG2">
        <v>107</v>
      </c>
      <c r="DH2">
        <v>108</v>
      </c>
      <c r="DI2">
        <v>109</v>
      </c>
      <c r="DJ2">
        <v>110</v>
      </c>
      <c r="DK2">
        <v>111</v>
      </c>
      <c r="DL2">
        <v>112</v>
      </c>
      <c r="DM2">
        <v>113</v>
      </c>
      <c r="DN2">
        <v>114</v>
      </c>
      <c r="DO2">
        <v>115</v>
      </c>
      <c r="DP2">
        <v>116</v>
      </c>
      <c r="DQ2">
        <v>117</v>
      </c>
      <c r="DR2">
        <v>118</v>
      </c>
      <c r="DS2">
        <v>119</v>
      </c>
      <c r="DT2">
        <v>120</v>
      </c>
      <c r="DU2">
        <v>121</v>
      </c>
      <c r="DV2">
        <v>122</v>
      </c>
      <c r="DW2">
        <v>123</v>
      </c>
      <c r="DX2">
        <v>124</v>
      </c>
      <c r="DY2">
        <v>125</v>
      </c>
      <c r="DZ2">
        <v>126</v>
      </c>
      <c r="EA2">
        <v>127</v>
      </c>
      <c r="EB2">
        <v>128</v>
      </c>
      <c r="EC2">
        <v>129</v>
      </c>
      <c r="ED2">
        <v>130</v>
      </c>
      <c r="EE2">
        <v>131</v>
      </c>
      <c r="EF2">
        <v>132</v>
      </c>
      <c r="EG2">
        <v>133</v>
      </c>
      <c r="EH2">
        <v>134</v>
      </c>
      <c r="EI2">
        <v>135</v>
      </c>
      <c r="EJ2">
        <v>136</v>
      </c>
      <c r="EK2">
        <v>137</v>
      </c>
      <c r="EL2">
        <v>138</v>
      </c>
      <c r="EM2">
        <v>139</v>
      </c>
      <c r="EN2">
        <v>140</v>
      </c>
      <c r="EO2">
        <v>141</v>
      </c>
      <c r="EP2">
        <v>142</v>
      </c>
      <c r="EQ2">
        <v>143</v>
      </c>
      <c r="ER2">
        <v>144</v>
      </c>
      <c r="ES2">
        <v>145</v>
      </c>
      <c r="ET2">
        <v>146</v>
      </c>
      <c r="EU2">
        <v>147</v>
      </c>
      <c r="EV2">
        <v>148</v>
      </c>
      <c r="EW2">
        <v>149</v>
      </c>
      <c r="EX2">
        <v>150</v>
      </c>
      <c r="EY2">
        <v>151</v>
      </c>
      <c r="EZ2">
        <v>152</v>
      </c>
      <c r="FA2">
        <v>153</v>
      </c>
      <c r="FB2">
        <v>154</v>
      </c>
    </row>
    <row r="3" spans="1:160" s="1" customFormat="1" ht="14.5" x14ac:dyDescent="0.35"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47</v>
      </c>
      <c r="AA3" s="1" t="s">
        <v>48</v>
      </c>
      <c r="AB3" s="1" t="s">
        <v>49</v>
      </c>
      <c r="AC3" s="1" t="s">
        <v>50</v>
      </c>
      <c r="AD3" s="1" t="s">
        <v>51</v>
      </c>
      <c r="AE3" s="1" t="s">
        <v>52</v>
      </c>
      <c r="AF3" s="1" t="s">
        <v>53</v>
      </c>
      <c r="AG3" s="1" t="s">
        <v>47</v>
      </c>
      <c r="AH3" s="1" t="s">
        <v>48</v>
      </c>
      <c r="AI3" s="1" t="s">
        <v>49</v>
      </c>
      <c r="AJ3" s="1" t="s">
        <v>50</v>
      </c>
      <c r="AK3" s="1" t="s">
        <v>51</v>
      </c>
      <c r="AL3" s="1" t="s">
        <v>52</v>
      </c>
      <c r="AM3" s="1" t="s">
        <v>53</v>
      </c>
      <c r="AN3" s="1" t="s">
        <v>47</v>
      </c>
      <c r="AO3" s="1" t="s">
        <v>48</v>
      </c>
      <c r="AP3" s="1" t="s">
        <v>49</v>
      </c>
      <c r="AQ3" s="1" t="s">
        <v>50</v>
      </c>
      <c r="AR3" s="1" t="s">
        <v>51</v>
      </c>
      <c r="AS3" s="1" t="s">
        <v>52</v>
      </c>
      <c r="AT3" s="1" t="s">
        <v>53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47</v>
      </c>
      <c r="BC3" s="1" t="s">
        <v>48</v>
      </c>
      <c r="BD3" s="1" t="s">
        <v>49</v>
      </c>
      <c r="BE3" s="1" t="s">
        <v>50</v>
      </c>
      <c r="BF3" s="1" t="s">
        <v>51</v>
      </c>
      <c r="BG3" s="1" t="s">
        <v>52</v>
      </c>
      <c r="BH3" s="1" t="s">
        <v>53</v>
      </c>
      <c r="BI3" s="1" t="s">
        <v>47</v>
      </c>
      <c r="BJ3" s="1" t="s">
        <v>48</v>
      </c>
      <c r="BK3" s="1" t="s">
        <v>49</v>
      </c>
      <c r="BL3" s="1" t="s">
        <v>50</v>
      </c>
      <c r="BM3" s="1" t="s">
        <v>51</v>
      </c>
      <c r="BN3" s="1" t="s">
        <v>52</v>
      </c>
      <c r="BO3" s="1" t="s">
        <v>53</v>
      </c>
      <c r="BP3" s="1" t="s">
        <v>47</v>
      </c>
      <c r="BQ3" s="1" t="s">
        <v>48</v>
      </c>
      <c r="BR3" s="1" t="s">
        <v>49</v>
      </c>
      <c r="BS3" s="1" t="s">
        <v>50</v>
      </c>
      <c r="BT3" s="1" t="s">
        <v>51</v>
      </c>
      <c r="BU3" s="1" t="s">
        <v>52</v>
      </c>
      <c r="BV3" s="1" t="s">
        <v>53</v>
      </c>
      <c r="BW3" s="1" t="s">
        <v>47</v>
      </c>
      <c r="BX3" s="1" t="s">
        <v>48</v>
      </c>
      <c r="BY3" s="1" t="s">
        <v>49</v>
      </c>
      <c r="BZ3" s="1" t="s">
        <v>50</v>
      </c>
      <c r="CA3" s="1" t="s">
        <v>51</v>
      </c>
      <c r="CB3" s="1" t="s">
        <v>52</v>
      </c>
      <c r="CC3" s="1" t="s">
        <v>53</v>
      </c>
      <c r="CD3" s="1" t="s">
        <v>47</v>
      </c>
      <c r="CE3" s="1" t="s">
        <v>48</v>
      </c>
      <c r="CF3" s="1" t="s">
        <v>49</v>
      </c>
      <c r="CG3" s="1" t="s">
        <v>50</v>
      </c>
      <c r="CH3" s="1" t="s">
        <v>51</v>
      </c>
      <c r="CI3" s="1" t="s">
        <v>52</v>
      </c>
      <c r="CJ3" s="1" t="s">
        <v>53</v>
      </c>
      <c r="CK3" s="1" t="s">
        <v>47</v>
      </c>
      <c r="CL3" s="1" t="s">
        <v>48</v>
      </c>
      <c r="CM3" s="1" t="s">
        <v>49</v>
      </c>
      <c r="CN3" s="1" t="s">
        <v>50</v>
      </c>
      <c r="CO3" s="1" t="s">
        <v>51</v>
      </c>
      <c r="CP3" s="1" t="s">
        <v>52</v>
      </c>
      <c r="CQ3" s="1" t="s">
        <v>53</v>
      </c>
      <c r="CR3" s="1" t="s">
        <v>47</v>
      </c>
      <c r="CS3" s="1" t="s">
        <v>48</v>
      </c>
      <c r="CT3" s="1" t="s">
        <v>49</v>
      </c>
      <c r="CU3" s="1" t="s">
        <v>50</v>
      </c>
      <c r="CV3" s="1" t="s">
        <v>51</v>
      </c>
      <c r="CW3" s="1" t="s">
        <v>52</v>
      </c>
      <c r="CX3" s="1" t="s">
        <v>53</v>
      </c>
      <c r="CY3" s="1" t="s">
        <v>47</v>
      </c>
      <c r="CZ3" s="1" t="s">
        <v>48</v>
      </c>
      <c r="DA3" s="1" t="s">
        <v>49</v>
      </c>
      <c r="DB3" s="1" t="s">
        <v>50</v>
      </c>
      <c r="DC3" s="1" t="s">
        <v>51</v>
      </c>
      <c r="DD3" s="1" t="s">
        <v>52</v>
      </c>
      <c r="DE3" s="1" t="s">
        <v>53</v>
      </c>
      <c r="DF3" s="1" t="s">
        <v>47</v>
      </c>
      <c r="DG3" s="1" t="s">
        <v>48</v>
      </c>
      <c r="DH3" s="1" t="s">
        <v>49</v>
      </c>
      <c r="DI3" s="1" t="s">
        <v>50</v>
      </c>
      <c r="DJ3" s="1" t="s">
        <v>51</v>
      </c>
      <c r="DK3" s="1" t="s">
        <v>52</v>
      </c>
      <c r="DL3" s="1" t="s">
        <v>53</v>
      </c>
      <c r="DM3" s="1" t="s">
        <v>47</v>
      </c>
      <c r="DN3" s="1" t="s">
        <v>48</v>
      </c>
      <c r="DO3" s="1" t="s">
        <v>49</v>
      </c>
      <c r="DP3" s="1" t="s">
        <v>50</v>
      </c>
      <c r="DQ3" s="1" t="s">
        <v>51</v>
      </c>
      <c r="DR3" s="1" t="s">
        <v>52</v>
      </c>
      <c r="DS3" s="1" t="s">
        <v>53</v>
      </c>
      <c r="DT3" s="1" t="s">
        <v>47</v>
      </c>
      <c r="DU3" s="1" t="s">
        <v>48</v>
      </c>
      <c r="DV3" s="1" t="s">
        <v>49</v>
      </c>
      <c r="DW3" s="1" t="s">
        <v>50</v>
      </c>
      <c r="DX3" s="1" t="s">
        <v>51</v>
      </c>
      <c r="DY3" s="1" t="s">
        <v>52</v>
      </c>
      <c r="DZ3" s="1" t="s">
        <v>53</v>
      </c>
      <c r="EA3" s="1" t="s">
        <v>47</v>
      </c>
      <c r="EB3" s="1" t="s">
        <v>48</v>
      </c>
      <c r="EC3" s="1" t="s">
        <v>49</v>
      </c>
      <c r="ED3" s="1" t="s">
        <v>50</v>
      </c>
      <c r="EE3" s="1" t="s">
        <v>51</v>
      </c>
      <c r="EF3" s="1" t="s">
        <v>52</v>
      </c>
      <c r="EG3" s="1" t="s">
        <v>53</v>
      </c>
      <c r="EH3" s="1" t="s">
        <v>47</v>
      </c>
      <c r="EI3" s="1" t="s">
        <v>48</v>
      </c>
      <c r="EJ3" s="1" t="s">
        <v>49</v>
      </c>
      <c r="EK3" s="1" t="s">
        <v>50</v>
      </c>
      <c r="EL3" s="1" t="s">
        <v>51</v>
      </c>
      <c r="EM3" s="1" t="s">
        <v>52</v>
      </c>
      <c r="EN3" s="1" t="s">
        <v>53</v>
      </c>
      <c r="EO3" s="1" t="s">
        <v>47</v>
      </c>
      <c r="EP3" s="1" t="s">
        <v>48</v>
      </c>
      <c r="EQ3" s="1" t="s">
        <v>49</v>
      </c>
      <c r="ER3" s="1" t="s">
        <v>50</v>
      </c>
      <c r="ES3" s="1" t="s">
        <v>51</v>
      </c>
      <c r="ET3" s="1" t="s">
        <v>52</v>
      </c>
      <c r="EU3" s="1" t="s">
        <v>53</v>
      </c>
      <c r="EV3" s="1" t="s">
        <v>47</v>
      </c>
      <c r="EW3" s="1" t="s">
        <v>48</v>
      </c>
      <c r="EX3" s="1" t="s">
        <v>49</v>
      </c>
      <c r="EY3" s="1" t="s">
        <v>50</v>
      </c>
      <c r="EZ3" s="1" t="s">
        <v>51</v>
      </c>
      <c r="FA3" s="1" t="s">
        <v>52</v>
      </c>
      <c r="FB3" s="1" t="s">
        <v>53</v>
      </c>
      <c r="FC3"/>
      <c r="FD3"/>
    </row>
    <row r="4" spans="1:160" ht="14.5" x14ac:dyDescent="0.35">
      <c r="E4" s="16">
        <v>45662</v>
      </c>
      <c r="F4" s="16">
        <v>45663</v>
      </c>
      <c r="G4" s="16">
        <v>45664</v>
      </c>
      <c r="H4" s="16">
        <v>45665</v>
      </c>
      <c r="I4" s="16">
        <v>45666</v>
      </c>
      <c r="J4" s="16">
        <v>45667</v>
      </c>
      <c r="K4" s="16">
        <v>45668</v>
      </c>
      <c r="L4" s="16">
        <v>45669</v>
      </c>
      <c r="M4" s="16">
        <v>45670</v>
      </c>
      <c r="N4" s="16">
        <v>45671</v>
      </c>
      <c r="O4" s="16">
        <v>45672</v>
      </c>
      <c r="P4" s="16">
        <v>45673</v>
      </c>
      <c r="Q4" s="16">
        <v>45674</v>
      </c>
      <c r="R4" s="16">
        <v>45675</v>
      </c>
      <c r="S4" s="16">
        <v>45676</v>
      </c>
      <c r="T4" s="16">
        <v>45677</v>
      </c>
      <c r="U4" s="16">
        <v>45678</v>
      </c>
      <c r="V4" s="16">
        <v>45679</v>
      </c>
      <c r="W4" s="16">
        <v>45680</v>
      </c>
      <c r="X4" s="16">
        <v>45681</v>
      </c>
      <c r="Y4" s="16">
        <v>45682</v>
      </c>
      <c r="Z4" s="16">
        <v>45683</v>
      </c>
      <c r="AA4" s="16">
        <v>45684</v>
      </c>
      <c r="AB4" s="16">
        <v>45685</v>
      </c>
      <c r="AC4" s="16">
        <v>45686</v>
      </c>
      <c r="AD4" s="16">
        <v>45687</v>
      </c>
      <c r="AE4" s="16">
        <v>45688</v>
      </c>
      <c r="AF4" s="16">
        <v>45689</v>
      </c>
      <c r="AG4" s="16">
        <v>45690</v>
      </c>
      <c r="AH4" s="16">
        <v>45691</v>
      </c>
      <c r="AI4" s="16">
        <v>45692</v>
      </c>
      <c r="AJ4" s="16">
        <v>45693</v>
      </c>
      <c r="AK4" s="16">
        <v>45694</v>
      </c>
      <c r="AL4" s="16">
        <v>45695</v>
      </c>
      <c r="AM4" s="16">
        <v>45696</v>
      </c>
      <c r="AN4" s="16">
        <v>45697</v>
      </c>
      <c r="AO4" s="16">
        <v>45698</v>
      </c>
      <c r="AP4" s="16">
        <v>45699</v>
      </c>
      <c r="AQ4" s="16">
        <v>45700</v>
      </c>
      <c r="AR4" s="16">
        <v>45701</v>
      </c>
      <c r="AS4" s="16">
        <v>45702</v>
      </c>
      <c r="AT4" s="16">
        <v>45703</v>
      </c>
      <c r="AU4" s="16">
        <v>45704</v>
      </c>
      <c r="AV4" s="16">
        <v>45705</v>
      </c>
      <c r="AW4" s="16">
        <v>45706</v>
      </c>
      <c r="AX4" s="16">
        <v>45707</v>
      </c>
      <c r="AY4" s="16">
        <v>45708</v>
      </c>
      <c r="AZ4" s="16">
        <v>45709</v>
      </c>
      <c r="BA4" s="16">
        <v>45710</v>
      </c>
      <c r="BB4" s="16">
        <v>45711</v>
      </c>
      <c r="BC4" s="16">
        <v>45712</v>
      </c>
      <c r="BD4" s="16">
        <v>45713</v>
      </c>
      <c r="BE4" s="16">
        <v>45714</v>
      </c>
      <c r="BF4" s="16">
        <v>45715</v>
      </c>
      <c r="BG4" s="16">
        <v>45716</v>
      </c>
      <c r="BH4" s="16">
        <v>45717</v>
      </c>
      <c r="BI4" s="16">
        <v>45718</v>
      </c>
      <c r="BJ4" s="16">
        <v>45719</v>
      </c>
      <c r="BK4" s="16">
        <v>45720</v>
      </c>
      <c r="BL4" s="16">
        <v>45721</v>
      </c>
      <c r="BM4" s="16">
        <v>45722</v>
      </c>
      <c r="BN4" s="16">
        <v>45723</v>
      </c>
      <c r="BO4" s="16">
        <v>45724</v>
      </c>
      <c r="BP4" s="16">
        <v>45725</v>
      </c>
      <c r="BQ4" s="16">
        <v>45726</v>
      </c>
      <c r="BR4" s="16">
        <v>45727</v>
      </c>
      <c r="BS4" s="16">
        <v>45728</v>
      </c>
      <c r="BT4" s="16">
        <v>45729</v>
      </c>
      <c r="BU4" s="16">
        <v>45730</v>
      </c>
      <c r="BV4" s="16">
        <v>45731</v>
      </c>
      <c r="BW4" s="16">
        <v>45732</v>
      </c>
      <c r="BX4" s="16">
        <v>45733</v>
      </c>
      <c r="BY4" s="16">
        <v>45734</v>
      </c>
      <c r="BZ4" s="16">
        <v>45735</v>
      </c>
      <c r="CA4" s="16">
        <v>45736</v>
      </c>
      <c r="CB4" s="16">
        <v>45737</v>
      </c>
      <c r="CC4" s="16">
        <v>45738</v>
      </c>
      <c r="CD4" s="16">
        <v>45739</v>
      </c>
      <c r="CE4" s="16">
        <v>45740</v>
      </c>
      <c r="CF4" s="16">
        <v>45741</v>
      </c>
      <c r="CG4" s="16">
        <v>45742</v>
      </c>
      <c r="CH4" s="16">
        <v>45743</v>
      </c>
      <c r="CI4" s="16">
        <v>45744</v>
      </c>
      <c r="CJ4" s="16">
        <v>45745</v>
      </c>
      <c r="CK4" s="16">
        <v>45746</v>
      </c>
      <c r="CL4" s="16">
        <v>45747</v>
      </c>
      <c r="CM4" s="16">
        <v>45748</v>
      </c>
      <c r="CN4" s="16">
        <v>45749</v>
      </c>
      <c r="CO4" s="16">
        <v>45750</v>
      </c>
      <c r="CP4" s="16">
        <v>45751</v>
      </c>
      <c r="CQ4" s="16">
        <v>45752</v>
      </c>
      <c r="CR4" s="16">
        <v>45753</v>
      </c>
      <c r="CS4" s="16">
        <v>45754</v>
      </c>
      <c r="CT4" s="16">
        <v>45755</v>
      </c>
      <c r="CU4" s="16">
        <v>45756</v>
      </c>
      <c r="CV4" s="16">
        <v>45757</v>
      </c>
      <c r="CW4" s="16">
        <v>45758</v>
      </c>
      <c r="CX4" s="16">
        <v>45759</v>
      </c>
      <c r="CY4" s="16">
        <v>45760</v>
      </c>
      <c r="CZ4" s="16">
        <v>45761</v>
      </c>
      <c r="DA4" s="16">
        <v>45762</v>
      </c>
      <c r="DB4" s="16">
        <v>45763</v>
      </c>
      <c r="DC4" s="16">
        <v>45764</v>
      </c>
      <c r="DD4" s="16">
        <v>45765</v>
      </c>
      <c r="DE4" s="16">
        <v>45766</v>
      </c>
      <c r="DF4" s="16">
        <v>45767</v>
      </c>
      <c r="DG4" s="16">
        <v>45768</v>
      </c>
      <c r="DH4" s="16">
        <v>45769</v>
      </c>
      <c r="DI4" s="16">
        <v>45770</v>
      </c>
      <c r="DJ4" s="16">
        <v>45771</v>
      </c>
      <c r="DK4" s="16">
        <v>45772</v>
      </c>
      <c r="DL4" s="16">
        <v>45773</v>
      </c>
      <c r="DM4" s="16">
        <v>45774</v>
      </c>
      <c r="DN4" s="16">
        <v>45775</v>
      </c>
      <c r="DO4" s="16">
        <v>45776</v>
      </c>
      <c r="DP4" s="16">
        <v>45777</v>
      </c>
      <c r="DQ4" s="16">
        <v>45778</v>
      </c>
      <c r="DR4" s="16">
        <v>45779</v>
      </c>
      <c r="DS4" s="16">
        <v>45780</v>
      </c>
      <c r="DT4" s="16">
        <v>45781</v>
      </c>
      <c r="DU4" s="16">
        <v>45782</v>
      </c>
      <c r="DV4" s="16">
        <v>45783</v>
      </c>
      <c r="DW4" s="16">
        <v>45784</v>
      </c>
      <c r="DX4" s="16">
        <v>45785</v>
      </c>
      <c r="DY4" s="16">
        <v>45786</v>
      </c>
      <c r="DZ4" s="16">
        <v>45787</v>
      </c>
      <c r="EA4" s="16">
        <v>45788</v>
      </c>
      <c r="EB4" s="16">
        <v>45789</v>
      </c>
      <c r="EC4" s="16">
        <v>45790</v>
      </c>
      <c r="ED4" s="16">
        <v>45791</v>
      </c>
      <c r="EE4" s="16">
        <v>45792</v>
      </c>
      <c r="EF4" s="16">
        <v>45793</v>
      </c>
      <c r="EG4" s="16">
        <v>45794</v>
      </c>
      <c r="EH4" s="16">
        <v>45795</v>
      </c>
      <c r="EI4" s="16">
        <v>45796</v>
      </c>
      <c r="EJ4" s="16">
        <v>45797</v>
      </c>
      <c r="EK4" s="16">
        <v>45798</v>
      </c>
      <c r="EL4" s="16">
        <v>45799</v>
      </c>
      <c r="EM4" s="16">
        <v>45800</v>
      </c>
      <c r="EN4" s="16">
        <v>45801</v>
      </c>
      <c r="EO4" s="16">
        <v>45802</v>
      </c>
      <c r="EP4" s="16">
        <v>45803</v>
      </c>
      <c r="EQ4" s="16">
        <v>45804</v>
      </c>
      <c r="ER4" s="16">
        <v>45805</v>
      </c>
      <c r="ES4" s="16">
        <v>45806</v>
      </c>
      <c r="ET4" s="16">
        <v>45807</v>
      </c>
      <c r="EU4" s="16">
        <v>45808</v>
      </c>
      <c r="EV4" s="16">
        <v>45809</v>
      </c>
      <c r="EW4" s="16">
        <v>45810</v>
      </c>
      <c r="EX4" s="16">
        <v>45811</v>
      </c>
      <c r="EY4" s="16">
        <v>45812</v>
      </c>
      <c r="EZ4" s="16">
        <v>45813</v>
      </c>
      <c r="FA4" s="16">
        <v>45814</v>
      </c>
      <c r="FB4" s="16">
        <v>45815</v>
      </c>
    </row>
    <row r="5" spans="1:160" ht="28.5" customHeight="1" x14ac:dyDescent="0.35">
      <c r="A5" s="1" t="s">
        <v>54</v>
      </c>
      <c r="B5" s="1" t="s">
        <v>55</v>
      </c>
      <c r="C5" s="1" t="s">
        <v>56</v>
      </c>
      <c r="D5" s="17" t="s">
        <v>57</v>
      </c>
      <c r="E5" s="16"/>
    </row>
    <row r="6" spans="1:160" ht="14.5" x14ac:dyDescent="0.35">
      <c r="D6">
        <f>SUM(E6:FB6)</f>
        <v>0</v>
      </c>
    </row>
    <row r="7" spans="1:160" ht="14.5" x14ac:dyDescent="0.35">
      <c r="D7">
        <f t="shared" ref="D7:D70" si="0">SUM(E7:FB7)</f>
        <v>0</v>
      </c>
    </row>
    <row r="8" spans="1:160" ht="14.5" x14ac:dyDescent="0.35">
      <c r="D8">
        <f t="shared" si="0"/>
        <v>0</v>
      </c>
    </row>
    <row r="9" spans="1:160" ht="14.5" x14ac:dyDescent="0.35">
      <c r="D9">
        <f t="shared" si="0"/>
        <v>0</v>
      </c>
    </row>
    <row r="10" spans="1:160" ht="14.5" x14ac:dyDescent="0.35">
      <c r="D10">
        <f t="shared" si="0"/>
        <v>0</v>
      </c>
    </row>
    <row r="11" spans="1:160" ht="14.5" x14ac:dyDescent="0.35">
      <c r="D11">
        <f t="shared" si="0"/>
        <v>0</v>
      </c>
    </row>
    <row r="12" spans="1:160" ht="14.5" x14ac:dyDescent="0.35">
      <c r="D12">
        <f t="shared" si="0"/>
        <v>0</v>
      </c>
    </row>
    <row r="13" spans="1:160" ht="14.5" x14ac:dyDescent="0.35">
      <c r="D13">
        <f t="shared" si="0"/>
        <v>0</v>
      </c>
    </row>
    <row r="14" spans="1:160" ht="14.5" x14ac:dyDescent="0.35">
      <c r="D14">
        <f t="shared" si="0"/>
        <v>0</v>
      </c>
    </row>
    <row r="15" spans="1:160" ht="14.5" x14ac:dyDescent="0.35">
      <c r="D15">
        <f t="shared" si="0"/>
        <v>0</v>
      </c>
    </row>
    <row r="16" spans="1:160" ht="14.5" x14ac:dyDescent="0.35">
      <c r="D16">
        <f t="shared" si="0"/>
        <v>0</v>
      </c>
    </row>
    <row r="17" spans="4:4" ht="14.5" x14ac:dyDescent="0.35">
      <c r="D17">
        <f t="shared" si="0"/>
        <v>0</v>
      </c>
    </row>
    <row r="18" spans="4:4" ht="14.5" x14ac:dyDescent="0.35">
      <c r="D18">
        <f t="shared" si="0"/>
        <v>0</v>
      </c>
    </row>
    <row r="19" spans="4:4" ht="14.5" x14ac:dyDescent="0.35">
      <c r="D19">
        <f t="shared" si="0"/>
        <v>0</v>
      </c>
    </row>
    <row r="20" spans="4:4" ht="14.5" x14ac:dyDescent="0.35">
      <c r="D20">
        <f t="shared" si="0"/>
        <v>0</v>
      </c>
    </row>
    <row r="21" spans="4:4" ht="14.5" x14ac:dyDescent="0.35">
      <c r="D21">
        <f t="shared" si="0"/>
        <v>0</v>
      </c>
    </row>
    <row r="22" spans="4:4" ht="14.5" x14ac:dyDescent="0.35">
      <c r="D22">
        <f t="shared" si="0"/>
        <v>0</v>
      </c>
    </row>
    <row r="23" spans="4:4" ht="14.5" x14ac:dyDescent="0.35">
      <c r="D23">
        <f t="shared" si="0"/>
        <v>0</v>
      </c>
    </row>
    <row r="24" spans="4:4" ht="14.5" x14ac:dyDescent="0.35">
      <c r="D24">
        <f t="shared" si="0"/>
        <v>0</v>
      </c>
    </row>
    <row r="25" spans="4:4" ht="14.5" x14ac:dyDescent="0.35">
      <c r="D25">
        <f t="shared" si="0"/>
        <v>0</v>
      </c>
    </row>
    <row r="26" spans="4:4" ht="14.5" x14ac:dyDescent="0.35">
      <c r="D26">
        <f t="shared" si="0"/>
        <v>0</v>
      </c>
    </row>
    <row r="27" spans="4:4" ht="14.5" x14ac:dyDescent="0.35">
      <c r="D27">
        <f t="shared" si="0"/>
        <v>0</v>
      </c>
    </row>
    <row r="28" spans="4:4" ht="14.5" x14ac:dyDescent="0.35">
      <c r="D28">
        <f t="shared" si="0"/>
        <v>0</v>
      </c>
    </row>
    <row r="29" spans="4:4" ht="14.5" x14ac:dyDescent="0.35">
      <c r="D29">
        <f t="shared" si="0"/>
        <v>0</v>
      </c>
    </row>
    <row r="30" spans="4:4" ht="14.5" x14ac:dyDescent="0.35">
      <c r="D30">
        <f t="shared" si="0"/>
        <v>0</v>
      </c>
    </row>
    <row r="31" spans="4:4" ht="14.5" x14ac:dyDescent="0.35">
      <c r="D31">
        <f t="shared" si="0"/>
        <v>0</v>
      </c>
    </row>
    <row r="32" spans="4:4" ht="14.5" x14ac:dyDescent="0.35">
      <c r="D32">
        <f t="shared" si="0"/>
        <v>0</v>
      </c>
    </row>
    <row r="33" spans="4:4" ht="14.5" x14ac:dyDescent="0.35">
      <c r="D33">
        <f t="shared" si="0"/>
        <v>0</v>
      </c>
    </row>
    <row r="34" spans="4:4" ht="14.5" x14ac:dyDescent="0.35">
      <c r="D34">
        <f t="shared" si="0"/>
        <v>0</v>
      </c>
    </row>
    <row r="35" spans="4:4" ht="14.5" x14ac:dyDescent="0.35">
      <c r="D35">
        <f t="shared" si="0"/>
        <v>0</v>
      </c>
    </row>
    <row r="36" spans="4:4" ht="14.5" x14ac:dyDescent="0.35">
      <c r="D36">
        <f t="shared" si="0"/>
        <v>0</v>
      </c>
    </row>
    <row r="37" spans="4:4" ht="14.5" x14ac:dyDescent="0.35">
      <c r="D37">
        <f t="shared" si="0"/>
        <v>0</v>
      </c>
    </row>
    <row r="38" spans="4:4" ht="14.5" x14ac:dyDescent="0.35">
      <c r="D38">
        <f t="shared" si="0"/>
        <v>0</v>
      </c>
    </row>
    <row r="39" spans="4:4" ht="14.5" x14ac:dyDescent="0.35">
      <c r="D39">
        <f t="shared" si="0"/>
        <v>0</v>
      </c>
    </row>
    <row r="40" spans="4:4" ht="14.5" x14ac:dyDescent="0.35">
      <c r="D40">
        <f t="shared" si="0"/>
        <v>0</v>
      </c>
    </row>
    <row r="41" spans="4:4" ht="14.5" x14ac:dyDescent="0.35">
      <c r="D41">
        <f t="shared" si="0"/>
        <v>0</v>
      </c>
    </row>
    <row r="42" spans="4:4" ht="14.5" x14ac:dyDescent="0.35">
      <c r="D42">
        <f t="shared" si="0"/>
        <v>0</v>
      </c>
    </row>
    <row r="43" spans="4:4" ht="14.5" x14ac:dyDescent="0.35">
      <c r="D43">
        <f t="shared" si="0"/>
        <v>0</v>
      </c>
    </row>
    <row r="44" spans="4:4" ht="14.5" x14ac:dyDescent="0.35">
      <c r="D44">
        <f t="shared" si="0"/>
        <v>0</v>
      </c>
    </row>
    <row r="45" spans="4:4" ht="14.5" x14ac:dyDescent="0.35">
      <c r="D45">
        <f t="shared" si="0"/>
        <v>0</v>
      </c>
    </row>
    <row r="46" spans="4:4" ht="14.5" x14ac:dyDescent="0.35">
      <c r="D46">
        <f t="shared" si="0"/>
        <v>0</v>
      </c>
    </row>
    <row r="47" spans="4:4" ht="14.5" x14ac:dyDescent="0.35">
      <c r="D47">
        <f t="shared" si="0"/>
        <v>0</v>
      </c>
    </row>
    <row r="48" spans="4:4" ht="14.5" x14ac:dyDescent="0.35">
      <c r="D48">
        <f t="shared" si="0"/>
        <v>0</v>
      </c>
    </row>
    <row r="49" spans="4:4" ht="14.5" x14ac:dyDescent="0.35">
      <c r="D49">
        <f t="shared" si="0"/>
        <v>0</v>
      </c>
    </row>
    <row r="50" spans="4:4" ht="14.5" x14ac:dyDescent="0.35">
      <c r="D50">
        <f t="shared" si="0"/>
        <v>0</v>
      </c>
    </row>
    <row r="51" spans="4:4" ht="14.5" x14ac:dyDescent="0.35">
      <c r="D51">
        <f t="shared" si="0"/>
        <v>0</v>
      </c>
    </row>
    <row r="52" spans="4:4" ht="14.5" x14ac:dyDescent="0.35">
      <c r="D52">
        <f t="shared" si="0"/>
        <v>0</v>
      </c>
    </row>
    <row r="53" spans="4:4" ht="14.5" x14ac:dyDescent="0.35">
      <c r="D53">
        <f t="shared" si="0"/>
        <v>0</v>
      </c>
    </row>
    <row r="54" spans="4:4" ht="14.5" x14ac:dyDescent="0.35">
      <c r="D54">
        <f t="shared" si="0"/>
        <v>0</v>
      </c>
    </row>
    <row r="55" spans="4:4" ht="14.5" x14ac:dyDescent="0.35">
      <c r="D55">
        <f t="shared" si="0"/>
        <v>0</v>
      </c>
    </row>
    <row r="56" spans="4:4" ht="14.5" x14ac:dyDescent="0.35">
      <c r="D56">
        <f t="shared" si="0"/>
        <v>0</v>
      </c>
    </row>
    <row r="57" spans="4:4" ht="14.5" x14ac:dyDescent="0.35">
      <c r="D57">
        <f t="shared" si="0"/>
        <v>0</v>
      </c>
    </row>
    <row r="58" spans="4:4" ht="14.5" x14ac:dyDescent="0.35">
      <c r="D58">
        <f t="shared" si="0"/>
        <v>0</v>
      </c>
    </row>
    <row r="59" spans="4:4" ht="14.5" x14ac:dyDescent="0.35">
      <c r="D59">
        <f t="shared" si="0"/>
        <v>0</v>
      </c>
    </row>
    <row r="60" spans="4:4" ht="14.5" x14ac:dyDescent="0.35">
      <c r="D60">
        <f t="shared" si="0"/>
        <v>0</v>
      </c>
    </row>
    <row r="61" spans="4:4" ht="14.5" x14ac:dyDescent="0.35">
      <c r="D61">
        <f t="shared" si="0"/>
        <v>0</v>
      </c>
    </row>
    <row r="62" spans="4:4" ht="14.5" x14ac:dyDescent="0.35">
      <c r="D62">
        <f t="shared" si="0"/>
        <v>0</v>
      </c>
    </row>
    <row r="63" spans="4:4" ht="14.5" x14ac:dyDescent="0.35">
      <c r="D63">
        <f t="shared" si="0"/>
        <v>0</v>
      </c>
    </row>
    <row r="64" spans="4:4" ht="14.5" x14ac:dyDescent="0.35">
      <c r="D64">
        <f t="shared" si="0"/>
        <v>0</v>
      </c>
    </row>
    <row r="65" spans="4:4" ht="14.5" x14ac:dyDescent="0.35">
      <c r="D65">
        <f t="shared" si="0"/>
        <v>0</v>
      </c>
    </row>
    <row r="66" spans="4:4" ht="14.5" x14ac:dyDescent="0.35">
      <c r="D66">
        <f t="shared" si="0"/>
        <v>0</v>
      </c>
    </row>
    <row r="67" spans="4:4" ht="14.5" x14ac:dyDescent="0.35">
      <c r="D67">
        <f t="shared" si="0"/>
        <v>0</v>
      </c>
    </row>
    <row r="68" spans="4:4" ht="14.5" x14ac:dyDescent="0.35">
      <c r="D68">
        <f t="shared" si="0"/>
        <v>0</v>
      </c>
    </row>
    <row r="69" spans="4:4" ht="14.5" x14ac:dyDescent="0.35">
      <c r="D69">
        <f t="shared" si="0"/>
        <v>0</v>
      </c>
    </row>
    <row r="70" spans="4:4" ht="14.5" x14ac:dyDescent="0.35">
      <c r="D70">
        <f t="shared" si="0"/>
        <v>0</v>
      </c>
    </row>
    <row r="71" spans="4:4" ht="14.5" x14ac:dyDescent="0.35">
      <c r="D71">
        <f t="shared" ref="D71:D134" si="1">SUM(E71:FB71)</f>
        <v>0</v>
      </c>
    </row>
    <row r="72" spans="4:4" ht="14.5" x14ac:dyDescent="0.35">
      <c r="D72">
        <f t="shared" si="1"/>
        <v>0</v>
      </c>
    </row>
    <row r="73" spans="4:4" ht="14.5" x14ac:dyDescent="0.35">
      <c r="D73">
        <f t="shared" si="1"/>
        <v>0</v>
      </c>
    </row>
    <row r="74" spans="4:4" ht="14.5" x14ac:dyDescent="0.35">
      <c r="D74">
        <f t="shared" si="1"/>
        <v>0</v>
      </c>
    </row>
    <row r="75" spans="4:4" ht="14.5" x14ac:dyDescent="0.35">
      <c r="D75">
        <f t="shared" si="1"/>
        <v>0</v>
      </c>
    </row>
    <row r="76" spans="4:4" ht="14.5" x14ac:dyDescent="0.35">
      <c r="D76">
        <f t="shared" si="1"/>
        <v>0</v>
      </c>
    </row>
    <row r="77" spans="4:4" ht="14.5" x14ac:dyDescent="0.35">
      <c r="D77">
        <f t="shared" si="1"/>
        <v>0</v>
      </c>
    </row>
    <row r="78" spans="4:4" ht="14.5" x14ac:dyDescent="0.35">
      <c r="D78">
        <f t="shared" si="1"/>
        <v>0</v>
      </c>
    </row>
    <row r="79" spans="4:4" ht="14.5" x14ac:dyDescent="0.35">
      <c r="D79">
        <f t="shared" si="1"/>
        <v>0</v>
      </c>
    </row>
    <row r="80" spans="4:4" ht="14.5" x14ac:dyDescent="0.35">
      <c r="D80">
        <f t="shared" si="1"/>
        <v>0</v>
      </c>
    </row>
    <row r="81" spans="4:4" ht="14.5" x14ac:dyDescent="0.35">
      <c r="D81">
        <f t="shared" si="1"/>
        <v>0</v>
      </c>
    </row>
    <row r="82" spans="4:4" ht="14.5" x14ac:dyDescent="0.35">
      <c r="D82">
        <f t="shared" si="1"/>
        <v>0</v>
      </c>
    </row>
    <row r="83" spans="4:4" ht="14.5" x14ac:dyDescent="0.35">
      <c r="D83">
        <f t="shared" si="1"/>
        <v>0</v>
      </c>
    </row>
    <row r="84" spans="4:4" ht="14.5" x14ac:dyDescent="0.35">
      <c r="D84">
        <f t="shared" si="1"/>
        <v>0</v>
      </c>
    </row>
    <row r="85" spans="4:4" ht="14.5" x14ac:dyDescent="0.35">
      <c r="D85">
        <f t="shared" si="1"/>
        <v>0</v>
      </c>
    </row>
    <row r="86" spans="4:4" ht="14.5" x14ac:dyDescent="0.35">
      <c r="D86">
        <f t="shared" si="1"/>
        <v>0</v>
      </c>
    </row>
    <row r="87" spans="4:4" ht="14.5" x14ac:dyDescent="0.35">
      <c r="D87">
        <f t="shared" si="1"/>
        <v>0</v>
      </c>
    </row>
    <row r="88" spans="4:4" ht="14.5" x14ac:dyDescent="0.35">
      <c r="D88">
        <f t="shared" si="1"/>
        <v>0</v>
      </c>
    </row>
    <row r="89" spans="4:4" ht="14.5" x14ac:dyDescent="0.35">
      <c r="D89">
        <f t="shared" si="1"/>
        <v>0</v>
      </c>
    </row>
    <row r="90" spans="4:4" ht="14.5" x14ac:dyDescent="0.35">
      <c r="D90">
        <f t="shared" si="1"/>
        <v>0</v>
      </c>
    </row>
    <row r="91" spans="4:4" ht="14.5" x14ac:dyDescent="0.35">
      <c r="D91">
        <f t="shared" si="1"/>
        <v>0</v>
      </c>
    </row>
    <row r="92" spans="4:4" ht="14.5" x14ac:dyDescent="0.35">
      <c r="D92">
        <f t="shared" si="1"/>
        <v>0</v>
      </c>
    </row>
    <row r="93" spans="4:4" ht="14.5" x14ac:dyDescent="0.35">
      <c r="D93">
        <f t="shared" si="1"/>
        <v>0</v>
      </c>
    </row>
    <row r="94" spans="4:4" ht="14.5" x14ac:dyDescent="0.35">
      <c r="D94">
        <f t="shared" si="1"/>
        <v>0</v>
      </c>
    </row>
    <row r="95" spans="4:4" ht="14.5" x14ac:dyDescent="0.35">
      <c r="D95">
        <f t="shared" si="1"/>
        <v>0</v>
      </c>
    </row>
    <row r="96" spans="4:4" ht="14.5" x14ac:dyDescent="0.35">
      <c r="D96">
        <f t="shared" si="1"/>
        <v>0</v>
      </c>
    </row>
    <row r="97" spans="4:4" ht="14.5" x14ac:dyDescent="0.35">
      <c r="D97">
        <f t="shared" si="1"/>
        <v>0</v>
      </c>
    </row>
    <row r="98" spans="4:4" ht="14.5" x14ac:dyDescent="0.35">
      <c r="D98">
        <f t="shared" si="1"/>
        <v>0</v>
      </c>
    </row>
    <row r="99" spans="4:4" ht="14.5" x14ac:dyDescent="0.35">
      <c r="D99">
        <f t="shared" si="1"/>
        <v>0</v>
      </c>
    </row>
    <row r="100" spans="4:4" ht="14.5" x14ac:dyDescent="0.35">
      <c r="D100">
        <f t="shared" si="1"/>
        <v>0</v>
      </c>
    </row>
    <row r="101" spans="4:4" ht="14.25" customHeight="1" x14ac:dyDescent="0.35">
      <c r="D101">
        <f t="shared" si="1"/>
        <v>0</v>
      </c>
    </row>
    <row r="102" spans="4:4" ht="14.25" customHeight="1" x14ac:dyDescent="0.35">
      <c r="D102">
        <f t="shared" si="1"/>
        <v>0</v>
      </c>
    </row>
    <row r="103" spans="4:4" ht="14.25" customHeight="1" x14ac:dyDescent="0.35">
      <c r="D103">
        <f t="shared" si="1"/>
        <v>0</v>
      </c>
    </row>
    <row r="104" spans="4:4" ht="14.25" customHeight="1" x14ac:dyDescent="0.35">
      <c r="D104">
        <f t="shared" si="1"/>
        <v>0</v>
      </c>
    </row>
    <row r="105" spans="4:4" ht="14.25" customHeight="1" x14ac:dyDescent="0.35">
      <c r="D105">
        <f t="shared" si="1"/>
        <v>0</v>
      </c>
    </row>
    <row r="106" spans="4:4" ht="14.25" customHeight="1" x14ac:dyDescent="0.35">
      <c r="D106">
        <f t="shared" si="1"/>
        <v>0</v>
      </c>
    </row>
    <row r="107" spans="4:4" ht="14.25" customHeight="1" x14ac:dyDescent="0.35">
      <c r="D107">
        <f t="shared" si="1"/>
        <v>0</v>
      </c>
    </row>
    <row r="108" spans="4:4" ht="14.25" customHeight="1" x14ac:dyDescent="0.35">
      <c r="D108">
        <f t="shared" si="1"/>
        <v>0</v>
      </c>
    </row>
    <row r="109" spans="4:4" ht="14.25" customHeight="1" x14ac:dyDescent="0.35">
      <c r="D109">
        <f t="shared" si="1"/>
        <v>0</v>
      </c>
    </row>
    <row r="110" spans="4:4" ht="14.25" customHeight="1" x14ac:dyDescent="0.35">
      <c r="D110">
        <f t="shared" si="1"/>
        <v>0</v>
      </c>
    </row>
    <row r="111" spans="4:4" ht="14.25" customHeight="1" x14ac:dyDescent="0.35">
      <c r="D111">
        <f t="shared" si="1"/>
        <v>0</v>
      </c>
    </row>
    <row r="112" spans="4:4" ht="14.25" customHeight="1" x14ac:dyDescent="0.35">
      <c r="D112">
        <f t="shared" si="1"/>
        <v>0</v>
      </c>
    </row>
    <row r="113" spans="4:4" ht="14.25" customHeight="1" x14ac:dyDescent="0.35">
      <c r="D113">
        <f t="shared" si="1"/>
        <v>0</v>
      </c>
    </row>
    <row r="114" spans="4:4" ht="14.25" customHeight="1" x14ac:dyDescent="0.35">
      <c r="D114">
        <f t="shared" si="1"/>
        <v>0</v>
      </c>
    </row>
    <row r="115" spans="4:4" ht="14.25" customHeight="1" x14ac:dyDescent="0.35">
      <c r="D115">
        <f t="shared" si="1"/>
        <v>0</v>
      </c>
    </row>
    <row r="116" spans="4:4" ht="14.25" customHeight="1" x14ac:dyDescent="0.35">
      <c r="D116">
        <f t="shared" si="1"/>
        <v>0</v>
      </c>
    </row>
    <row r="117" spans="4:4" ht="14.25" customHeight="1" x14ac:dyDescent="0.35">
      <c r="D117">
        <f t="shared" si="1"/>
        <v>0</v>
      </c>
    </row>
    <row r="118" spans="4:4" ht="14.25" customHeight="1" x14ac:dyDescent="0.35">
      <c r="D118">
        <f t="shared" si="1"/>
        <v>0</v>
      </c>
    </row>
    <row r="119" spans="4:4" ht="14.25" customHeight="1" x14ac:dyDescent="0.35">
      <c r="D119">
        <f t="shared" si="1"/>
        <v>0</v>
      </c>
    </row>
    <row r="120" spans="4:4" ht="14.25" customHeight="1" x14ac:dyDescent="0.35">
      <c r="D120">
        <f t="shared" si="1"/>
        <v>0</v>
      </c>
    </row>
    <row r="121" spans="4:4" ht="14.25" customHeight="1" x14ac:dyDescent="0.35">
      <c r="D121">
        <f t="shared" si="1"/>
        <v>0</v>
      </c>
    </row>
    <row r="122" spans="4:4" ht="14.25" customHeight="1" x14ac:dyDescent="0.35">
      <c r="D122">
        <f t="shared" si="1"/>
        <v>0</v>
      </c>
    </row>
    <row r="123" spans="4:4" ht="14.25" customHeight="1" x14ac:dyDescent="0.35">
      <c r="D123">
        <f t="shared" si="1"/>
        <v>0</v>
      </c>
    </row>
    <row r="124" spans="4:4" ht="14.25" customHeight="1" x14ac:dyDescent="0.35">
      <c r="D124">
        <f t="shared" si="1"/>
        <v>0</v>
      </c>
    </row>
    <row r="125" spans="4:4" ht="14.25" customHeight="1" x14ac:dyDescent="0.35">
      <c r="D125">
        <f t="shared" si="1"/>
        <v>0</v>
      </c>
    </row>
    <row r="126" spans="4:4" ht="14.25" customHeight="1" x14ac:dyDescent="0.35">
      <c r="D126">
        <f t="shared" si="1"/>
        <v>0</v>
      </c>
    </row>
    <row r="127" spans="4:4" ht="14.25" customHeight="1" x14ac:dyDescent="0.35">
      <c r="D127">
        <f t="shared" si="1"/>
        <v>0</v>
      </c>
    </row>
    <row r="128" spans="4:4" ht="14.25" customHeight="1" x14ac:dyDescent="0.35">
      <c r="D128">
        <f t="shared" si="1"/>
        <v>0</v>
      </c>
    </row>
    <row r="129" spans="4:4" ht="14.25" customHeight="1" x14ac:dyDescent="0.35">
      <c r="D129">
        <f t="shared" si="1"/>
        <v>0</v>
      </c>
    </row>
    <row r="130" spans="4:4" ht="14.25" customHeight="1" x14ac:dyDescent="0.35">
      <c r="D130">
        <f t="shared" si="1"/>
        <v>0</v>
      </c>
    </row>
    <row r="131" spans="4:4" ht="14.25" customHeight="1" x14ac:dyDescent="0.35">
      <c r="D131">
        <f t="shared" si="1"/>
        <v>0</v>
      </c>
    </row>
    <row r="132" spans="4:4" ht="14.25" customHeight="1" x14ac:dyDescent="0.35">
      <c r="D132">
        <f t="shared" si="1"/>
        <v>0</v>
      </c>
    </row>
    <row r="133" spans="4:4" ht="14.25" customHeight="1" x14ac:dyDescent="0.35">
      <c r="D133">
        <f t="shared" si="1"/>
        <v>0</v>
      </c>
    </row>
    <row r="134" spans="4:4" ht="14.25" customHeight="1" x14ac:dyDescent="0.35">
      <c r="D134">
        <f t="shared" si="1"/>
        <v>0</v>
      </c>
    </row>
    <row r="135" spans="4:4" ht="14.25" customHeight="1" x14ac:dyDescent="0.35">
      <c r="D135">
        <f t="shared" ref="D135:D154" si="2">SUM(E135:FB135)</f>
        <v>0</v>
      </c>
    </row>
    <row r="136" spans="4:4" ht="14.25" customHeight="1" x14ac:dyDescent="0.35">
      <c r="D136">
        <f t="shared" si="2"/>
        <v>0</v>
      </c>
    </row>
    <row r="137" spans="4:4" ht="14.25" customHeight="1" x14ac:dyDescent="0.35">
      <c r="D137">
        <f t="shared" si="2"/>
        <v>0</v>
      </c>
    </row>
    <row r="138" spans="4:4" ht="14.25" customHeight="1" x14ac:dyDescent="0.35">
      <c r="D138">
        <f t="shared" si="2"/>
        <v>0</v>
      </c>
    </row>
    <row r="139" spans="4:4" ht="14.25" customHeight="1" x14ac:dyDescent="0.35">
      <c r="D139">
        <f t="shared" si="2"/>
        <v>0</v>
      </c>
    </row>
    <row r="140" spans="4:4" ht="14.25" customHeight="1" x14ac:dyDescent="0.35">
      <c r="D140">
        <f t="shared" si="2"/>
        <v>0</v>
      </c>
    </row>
    <row r="141" spans="4:4" ht="14.25" customHeight="1" x14ac:dyDescent="0.35">
      <c r="D141">
        <f t="shared" si="2"/>
        <v>0</v>
      </c>
    </row>
    <row r="142" spans="4:4" ht="14.25" customHeight="1" x14ac:dyDescent="0.35">
      <c r="D142">
        <f t="shared" si="2"/>
        <v>0</v>
      </c>
    </row>
    <row r="143" spans="4:4" ht="14.25" customHeight="1" x14ac:dyDescent="0.35">
      <c r="D143">
        <f t="shared" si="2"/>
        <v>0</v>
      </c>
    </row>
    <row r="144" spans="4:4" ht="14.25" customHeight="1" x14ac:dyDescent="0.35">
      <c r="D144">
        <f t="shared" si="2"/>
        <v>0</v>
      </c>
    </row>
    <row r="145" spans="4:4" ht="14.25" customHeight="1" x14ac:dyDescent="0.35">
      <c r="D145">
        <f t="shared" si="2"/>
        <v>0</v>
      </c>
    </row>
    <row r="146" spans="4:4" ht="14.25" customHeight="1" x14ac:dyDescent="0.35">
      <c r="D146">
        <f t="shared" si="2"/>
        <v>0</v>
      </c>
    </row>
    <row r="147" spans="4:4" ht="14.25" customHeight="1" x14ac:dyDescent="0.35">
      <c r="D147">
        <f t="shared" si="2"/>
        <v>0</v>
      </c>
    </row>
    <row r="148" spans="4:4" ht="14.25" customHeight="1" x14ac:dyDescent="0.35">
      <c r="D148">
        <f t="shared" si="2"/>
        <v>0</v>
      </c>
    </row>
    <row r="149" spans="4:4" ht="14.25" customHeight="1" x14ac:dyDescent="0.35">
      <c r="D149">
        <f t="shared" si="2"/>
        <v>0</v>
      </c>
    </row>
    <row r="150" spans="4:4" ht="14.25" customHeight="1" x14ac:dyDescent="0.35">
      <c r="D150">
        <f t="shared" si="2"/>
        <v>0</v>
      </c>
    </row>
    <row r="151" spans="4:4" ht="14.25" customHeight="1" x14ac:dyDescent="0.35">
      <c r="D151">
        <f t="shared" si="2"/>
        <v>0</v>
      </c>
    </row>
    <row r="152" spans="4:4" ht="14.25" customHeight="1" x14ac:dyDescent="0.35">
      <c r="D152">
        <f t="shared" si="2"/>
        <v>0</v>
      </c>
    </row>
    <row r="153" spans="4:4" ht="14.25" customHeight="1" x14ac:dyDescent="0.35">
      <c r="D153">
        <f t="shared" si="2"/>
        <v>0</v>
      </c>
    </row>
    <row r="154" spans="4:4" ht="14.25" customHeight="1" x14ac:dyDescent="0.35">
      <c r="D154">
        <f t="shared" si="2"/>
        <v>0</v>
      </c>
    </row>
    <row r="155" spans="4:4" ht="14.25" customHeight="1" x14ac:dyDescent="0.35">
      <c r="D155">
        <f>SUM(E155:FB155)</f>
        <v>0</v>
      </c>
    </row>
  </sheetData>
  <dataValidations count="1">
    <dataValidation allowBlank="1" showInputMessage="1" showErrorMessage="1" sqref="B6:B108 D6:D155" xr:uid="{00000000-0002-0000-01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 xr:uid="{00000000-0002-0000-0100-000001000000}">
          <x14:formula1>
            <xm:f>'Project info summary'!$D$10:$D$14</xm:f>
          </x14:formula1>
          <x14:formula2>
            <xm:f>0</xm:f>
          </x14:formula2>
          <xm:sqref>C6:C157</xm:sqref>
        </x14:dataValidation>
        <x14:dataValidation type="list" operator="equal" allowBlank="1" showErrorMessage="1" xr:uid="{00000000-0002-0000-0100-000002000000}">
          <x14:formula1>
            <xm:f>'Project info summary'!$A$10:$A$29</xm:f>
          </x14:formula1>
          <x14:formula2>
            <xm:f>0</xm:f>
          </x14:formula2>
          <xm:sqref>A6:A157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I28" sqref="I28"/>
    </sheetView>
  </sheetViews>
  <sheetFormatPr defaultColWidth="8.54296875" defaultRowHeight="14.25" customHeight="1" x14ac:dyDescent="0.35"/>
  <cols>
    <col min="1" max="1" width="16.54296875" customWidth="1"/>
    <col min="2" max="2" width="13.7265625" customWidth="1"/>
    <col min="3" max="3" width="17.453125" customWidth="1"/>
    <col min="4" max="4" width="19.26953125" customWidth="1"/>
  </cols>
  <sheetData>
    <row r="1" spans="1:4" ht="14.5" x14ac:dyDescent="0.35">
      <c r="A1" s="18" t="s">
        <v>58</v>
      </c>
      <c r="B1" s="18"/>
      <c r="C1" s="18"/>
      <c r="D1" s="18"/>
    </row>
    <row r="2" spans="1:4" ht="14.5" x14ac:dyDescent="0.35">
      <c r="A2" s="18" t="s">
        <v>59</v>
      </c>
      <c r="B2" s="18" t="s">
        <v>60</v>
      </c>
      <c r="C2" s="18" t="s">
        <v>61</v>
      </c>
      <c r="D2" s="18" t="s">
        <v>62</v>
      </c>
    </row>
    <row r="3" spans="1:4" ht="14.5" x14ac:dyDescent="0.35">
      <c r="A3" s="8" t="s">
        <v>14</v>
      </c>
      <c r="B3" s="8">
        <f>SUMIF(Gantt!$C$6:$C$158,Costs!A3,Gantt!$D$6:$D$158)</f>
        <v>0</v>
      </c>
      <c r="C3" s="10">
        <v>110</v>
      </c>
      <c r="D3" s="10">
        <f>B3*C3</f>
        <v>0</v>
      </c>
    </row>
    <row r="4" spans="1:4" ht="14.5" x14ac:dyDescent="0.35">
      <c r="A4" s="8" t="s">
        <v>17</v>
      </c>
      <c r="B4" s="8">
        <f>SUMIF(Gantt!$C$6:$C$158,Costs!A4,Gantt!$D$6:$D$158)</f>
        <v>0</v>
      </c>
      <c r="C4" s="10">
        <v>38</v>
      </c>
      <c r="D4" s="10">
        <f>B4*C4</f>
        <v>0</v>
      </c>
    </row>
    <row r="5" spans="1:4" ht="14.5" x14ac:dyDescent="0.35">
      <c r="A5" s="8" t="s">
        <v>20</v>
      </c>
      <c r="B5" s="8">
        <f>SUMIF(Gantt!$C$6:$C$158,Costs!A5,Gantt!$D$6:$D$158)</f>
        <v>0</v>
      </c>
      <c r="C5" s="10">
        <v>47</v>
      </c>
      <c r="D5" s="10">
        <f>B5*C5</f>
        <v>0</v>
      </c>
    </row>
    <row r="6" spans="1:4" ht="14.5" x14ac:dyDescent="0.35">
      <c r="A6" s="8" t="s">
        <v>22</v>
      </c>
      <c r="B6" s="8">
        <f>SUMIF(Gantt!$C$6:$C$158,Costs!A6,Gantt!$D$6:$D$158)</f>
        <v>0</v>
      </c>
      <c r="C6" s="10">
        <v>52</v>
      </c>
      <c r="D6" s="10">
        <f>B6*C6</f>
        <v>0</v>
      </c>
    </row>
    <row r="7" spans="1:4" ht="14.5" x14ac:dyDescent="0.35">
      <c r="A7" s="8" t="s">
        <v>25</v>
      </c>
      <c r="B7" s="8">
        <f>SUMIF(Gantt!$C$6:$C$158,Costs!A7,Gantt!$D$6:$D$158)</f>
        <v>0</v>
      </c>
      <c r="C7" s="10">
        <v>78</v>
      </c>
      <c r="D7" s="10">
        <f>B7*C7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97E7-37A6-4097-86C2-AFCE102317DC}">
  <dimension ref="A1:D31"/>
  <sheetViews>
    <sheetView tabSelected="1" zoomScale="80" zoomScaleNormal="80" workbookViewId="0">
      <selection activeCell="C19" sqref="C19"/>
    </sheetView>
  </sheetViews>
  <sheetFormatPr defaultRowHeight="14.25" customHeight="1" x14ac:dyDescent="0.35"/>
  <cols>
    <col min="1" max="1" width="26.453125" customWidth="1"/>
    <col min="2" max="2" width="33.7265625" customWidth="1"/>
  </cols>
  <sheetData>
    <row r="1" spans="1:4" ht="14.5" x14ac:dyDescent="0.35"/>
    <row r="2" spans="1:4" ht="15.75" customHeight="1" x14ac:dyDescent="0.35"/>
    <row r="3" spans="1:4" ht="14.5" x14ac:dyDescent="0.35"/>
    <row r="4" spans="1:4" ht="14.5" x14ac:dyDescent="0.35"/>
    <row r="5" spans="1:4" ht="14.5" x14ac:dyDescent="0.35"/>
    <row r="6" spans="1:4" ht="14.5" x14ac:dyDescent="0.35"/>
    <row r="7" spans="1:4" ht="14.5" x14ac:dyDescent="0.35"/>
    <row r="8" spans="1:4" ht="14.5" x14ac:dyDescent="0.35"/>
    <row r="9" spans="1:4" s="28" customFormat="1" ht="22.5" x14ac:dyDescent="0.8">
      <c r="A9" s="27" t="s">
        <v>72</v>
      </c>
    </row>
    <row r="10" spans="1:4" s="28" customFormat="1" ht="22.5" x14ac:dyDescent="0.8">
      <c r="A10" s="35" t="s">
        <v>74</v>
      </c>
      <c r="B10" s="35"/>
    </row>
    <row r="11" spans="1:4" s="28" customFormat="1" ht="22.5" customHeight="1" x14ac:dyDescent="0.8">
      <c r="A11" s="27" t="s">
        <v>73</v>
      </c>
    </row>
    <row r="12" spans="1:4" ht="24" x14ac:dyDescent="0.35">
      <c r="A12" s="29"/>
      <c r="B12" s="29"/>
      <c r="C12" s="29"/>
      <c r="D12" s="29"/>
    </row>
    <row r="13" spans="1:4" ht="24" x14ac:dyDescent="0.35">
      <c r="A13" s="30" t="s">
        <v>63</v>
      </c>
      <c r="B13" s="31" t="s">
        <v>64</v>
      </c>
      <c r="C13" s="29"/>
      <c r="D13" s="29"/>
    </row>
    <row r="14" spans="1:4" ht="24" x14ac:dyDescent="0.35">
      <c r="A14" s="30" t="s">
        <v>65</v>
      </c>
      <c r="B14" s="31" t="s">
        <v>64</v>
      </c>
      <c r="C14" s="29"/>
      <c r="D14" s="29"/>
    </row>
    <row r="15" spans="1:4" ht="24" x14ac:dyDescent="0.35">
      <c r="A15" s="30" t="s">
        <v>66</v>
      </c>
      <c r="B15" s="31" t="s">
        <v>64</v>
      </c>
      <c r="C15" s="29"/>
      <c r="D15" s="32"/>
    </row>
    <row r="16" spans="1:4" ht="24" x14ac:dyDescent="0.35">
      <c r="A16" s="30" t="s">
        <v>67</v>
      </c>
      <c r="B16" s="31" t="s">
        <v>64</v>
      </c>
      <c r="C16" s="29"/>
      <c r="D16" s="29"/>
    </row>
    <row r="17" spans="1:4" ht="24" x14ac:dyDescent="0.35">
      <c r="A17" s="29"/>
      <c r="B17" s="29"/>
      <c r="C17" s="29"/>
      <c r="D17" s="29"/>
    </row>
    <row r="18" spans="1:4" ht="24" x14ac:dyDescent="0.35">
      <c r="A18" s="32" t="s">
        <v>68</v>
      </c>
      <c r="B18" s="29"/>
      <c r="C18" s="29"/>
      <c r="D18" s="29"/>
    </row>
    <row r="19" spans="1:4" ht="24" x14ac:dyDescent="0.35">
      <c r="A19" s="29" t="s">
        <v>75</v>
      </c>
      <c r="B19" s="29"/>
      <c r="C19" s="29"/>
      <c r="D19" s="29"/>
    </row>
    <row r="20" spans="1:4" ht="24" x14ac:dyDescent="0.35">
      <c r="A20" s="29" t="s">
        <v>69</v>
      </c>
    </row>
    <row r="21" spans="1:4" ht="24" x14ac:dyDescent="0.35">
      <c r="A21" s="29" t="s">
        <v>70</v>
      </c>
    </row>
    <row r="22" spans="1:4" ht="24" x14ac:dyDescent="0.35">
      <c r="A22" s="29" t="s">
        <v>71</v>
      </c>
    </row>
    <row r="24" spans="1:4" ht="14.5" x14ac:dyDescent="0.35"/>
    <row r="26" spans="1:4" ht="14.25" customHeight="1" x14ac:dyDescent="0.35">
      <c r="A26" s="26"/>
    </row>
    <row r="27" spans="1:4" ht="14.25" customHeight="1" x14ac:dyDescent="0.35">
      <c r="A27" s="34"/>
      <c r="B27" s="34"/>
    </row>
    <row r="28" spans="1:4" ht="14.25" customHeight="1" x14ac:dyDescent="0.35">
      <c r="A28" s="26"/>
    </row>
    <row r="29" spans="1:4" ht="14.5" x14ac:dyDescent="0.35">
      <c r="A29" s="26"/>
    </row>
    <row r="30" spans="1:4" ht="14.5" x14ac:dyDescent="0.35">
      <c r="A30" s="34"/>
      <c r="B30" s="34"/>
    </row>
    <row r="31" spans="1:4" ht="14.5" x14ac:dyDescent="0.35">
      <c r="A31" s="26"/>
    </row>
  </sheetData>
  <mergeCells count="3">
    <mergeCell ref="A27:B27"/>
    <mergeCell ref="A10:B10"/>
    <mergeCell ref="A30:B3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3002ca9-34ad-434c-ac87-26756c0cdd06">
      <Terms xmlns="http://schemas.microsoft.com/office/infopath/2007/PartnerControls"/>
    </lcf76f155ced4ddcb4097134ff3c332f>
    <_ip_UnifiedCompliancePolicyProperties xmlns="http://schemas.microsoft.com/sharepoint/v3" xsi:nil="true"/>
    <TaxCatchAll xmlns="477676f7-3aaa-488c-8018-0d93153801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694C6FDE3F8428E531DB9CF9F3F5F" ma:contentTypeVersion="21" ma:contentTypeDescription="Create a new document." ma:contentTypeScope="" ma:versionID="4287b934a077810e39e15f52baba4a83">
  <xsd:schema xmlns:xsd="http://www.w3.org/2001/XMLSchema" xmlns:xs="http://www.w3.org/2001/XMLSchema" xmlns:p="http://schemas.microsoft.com/office/2006/metadata/properties" xmlns:ns1="http://schemas.microsoft.com/sharepoint/v3" xmlns:ns2="03002ca9-34ad-434c-ac87-26756c0cdd06" xmlns:ns3="477676f7-3aaa-488c-8018-0d93153801a5" targetNamespace="http://schemas.microsoft.com/office/2006/metadata/properties" ma:root="true" ma:fieldsID="4f07253b5a636737e5c763e5fcaae8b8" ns1:_="" ns2:_="" ns3:_="">
    <xsd:import namespace="http://schemas.microsoft.com/sharepoint/v3"/>
    <xsd:import namespace="03002ca9-34ad-434c-ac87-26756c0cdd06"/>
    <xsd:import namespace="477676f7-3aaa-488c-8018-0d9315380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02ca9-34ad-434c-ac87-26756c0cd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676f7-3aaa-488c-8018-0d93153801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c00422-94a1-4b1d-81f8-6ce959344e31}" ma:internalName="TaxCatchAll" ma:showField="CatchAllData" ma:web="477676f7-3aaa-488c-8018-0d93153801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C182E-ACDB-4470-87A9-15766805C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B2883C-B62F-42F0-887A-67284F929D5E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477676f7-3aaa-488c-8018-0d93153801a5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3002ca9-34ad-434c-ac87-26756c0cdd06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9AAE0C8-EE44-4CB8-885A-4B6027F73E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002ca9-34ad-434c-ac87-26756c0cdd06"/>
    <ds:schemaRef ds:uri="477676f7-3aaa-488c-8018-0d93153801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 summary</vt:lpstr>
      <vt:lpstr>Gantt</vt:lpstr>
      <vt:lpstr>Costs</vt:lpstr>
      <vt:lpstr>Copyright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Garrill</dc:creator>
  <cp:keywords/>
  <dc:description/>
  <cp:lastModifiedBy>Matthew Garrill</cp:lastModifiedBy>
  <cp:revision>5</cp:revision>
  <dcterms:created xsi:type="dcterms:W3CDTF">2024-09-23T11:57:42Z</dcterms:created>
  <dcterms:modified xsi:type="dcterms:W3CDTF">2025-11-27T13:06:47Z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0x010100074694C6FDE3F8428E531DB9CF9F3F5F</vt:lpwstr>
  </property>
  <property fmtid="{D5CDD505-2E9C-101B-9397-08002B2CF9AE}" pid="3" name="MediaServiceImageTags">
    <vt:lpwstr/>
  </property>
</Properties>
</file>