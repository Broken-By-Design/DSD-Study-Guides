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garrill_m\Downloads\Re_ T Level Digital ESP Supporting documents\DSD\"/>
    </mc:Choice>
  </mc:AlternateContent>
  <xr:revisionPtr revIDLastSave="0" documentId="13_ncr:1_{45472FEF-0E84-43AB-BD99-429AB4DFB094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Project info summary" sheetId="1" r:id="rId1"/>
    <sheet name="Gannt" sheetId="2" r:id="rId2"/>
    <sheet name="Costs" sheetId="3" r:id="rId3"/>
    <sheet name="Copyrigh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D4" i="3"/>
  <c r="D5" i="3"/>
  <c r="D6" i="3"/>
  <c r="D7" i="3"/>
  <c r="C4" i="3"/>
  <c r="C5" i="3"/>
  <c r="C6" i="3"/>
  <c r="C7" i="3"/>
  <c r="C3" i="3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B5" i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6" i="2"/>
  <c r="B3" i="3" s="1"/>
  <c r="D3" i="3" s="1"/>
</calcChain>
</file>

<file path=xl/sharedStrings.xml><?xml version="1.0" encoding="utf-8"?>
<sst xmlns="http://schemas.openxmlformats.org/spreadsheetml/2006/main" count="248" uniqueCount="81">
  <si>
    <t>RBSX Group Ltd Financial Investment and User Managment System</t>
  </si>
  <si>
    <t>Key Project Info</t>
  </si>
  <si>
    <t>Intended start Date</t>
  </si>
  <si>
    <t>Requested time scale (Weeks)</t>
  </si>
  <si>
    <t>Requested time scale (Days)</t>
  </si>
  <si>
    <t>Hours worked per day per Staff member</t>
  </si>
  <si>
    <t>Predicted staff Abscence (Days)</t>
  </si>
  <si>
    <r>
      <t>Task</t>
    </r>
    <r>
      <rPr>
        <sz val="11"/>
        <rFont val="Trebuchet MS"/>
        <charset val="1"/>
      </rPr>
      <t> </t>
    </r>
  </si>
  <si>
    <r>
      <t>Estimated number of work hours</t>
    </r>
    <r>
      <rPr>
        <sz val="11"/>
        <rFont val="Trebuchet MS"/>
        <charset val="1"/>
      </rPr>
      <t> </t>
    </r>
  </si>
  <si>
    <t>Staff member</t>
  </si>
  <si>
    <t>Role</t>
  </si>
  <si>
    <t>Key</t>
  </si>
  <si>
    <t>Pay per hour</t>
  </si>
  <si>
    <t>Upgrade infrastructure </t>
  </si>
  <si>
    <t>21 </t>
  </si>
  <si>
    <t xml:space="preserve">Sarah O’Toole </t>
  </si>
  <si>
    <t>Senior Software Engineer</t>
  </si>
  <si>
    <t>Install physical server </t>
  </si>
  <si>
    <t>7 </t>
  </si>
  <si>
    <t>Ahad Shafiq</t>
  </si>
  <si>
    <t>Junior Software Engineer</t>
  </si>
  <si>
    <t xml:space="preserve">Develop Module - Investments and savings </t>
  </si>
  <si>
    <t>Terry Duran </t>
  </si>
  <si>
    <t>Develop Module  - User interface </t>
  </si>
  <si>
    <t>70 </t>
  </si>
  <si>
    <t xml:space="preserve">Gina Diaz </t>
  </si>
  <si>
    <t>Database Engineer</t>
  </si>
  <si>
    <t>Develop Module - Information feed </t>
  </si>
  <si>
    <t>126 </t>
  </si>
  <si>
    <t>Marius Bronski </t>
  </si>
  <si>
    <t>Network Engineer</t>
  </si>
  <si>
    <t xml:space="preserve">Develop Module - Back-end database </t>
  </si>
  <si>
    <t>Develop Module  - Data analytics </t>
  </si>
  <si>
    <t>112 </t>
  </si>
  <si>
    <t>Develop Module – Communications </t>
  </si>
  <si>
    <t>105 </t>
  </si>
  <si>
    <t>Deploy Modules </t>
  </si>
  <si>
    <t>(per module) </t>
  </si>
  <si>
    <t>Unit testing </t>
  </si>
  <si>
    <t xml:space="preserve"> Integration testing </t>
  </si>
  <si>
    <t>14 </t>
  </si>
  <si>
    <t xml:space="preserve"> Fixing and regression testing for major fault </t>
  </si>
  <si>
    <t>(per fault found) </t>
  </si>
  <si>
    <t xml:space="preserve"> Fixing and regression testing for minor fault </t>
  </si>
  <si>
    <t>User/acceptance testing </t>
  </si>
  <si>
    <t>35 </t>
  </si>
  <si>
    <t>Create a Test plan </t>
  </si>
  <si>
    <t>User Training </t>
  </si>
  <si>
    <t>Monday</t>
  </si>
  <si>
    <t>Tuesday</t>
  </si>
  <si>
    <t>Wednesday</t>
  </si>
  <si>
    <t>Thursday</t>
  </si>
  <si>
    <t>Friday</t>
  </si>
  <si>
    <t>Saturday</t>
  </si>
  <si>
    <t>Sunday</t>
  </si>
  <si>
    <t>Task</t>
  </si>
  <si>
    <t>Sub Task/Notes</t>
  </si>
  <si>
    <t>Staff assigned</t>
  </si>
  <si>
    <t>Total hours assigned to task</t>
  </si>
  <si>
    <t>Staf Costs</t>
  </si>
  <si>
    <t>Staff</t>
  </si>
  <si>
    <t>Hours worked</t>
  </si>
  <si>
    <t>Rate of pay</t>
  </si>
  <si>
    <t>Cost for project</t>
  </si>
  <si>
    <t>Candidate surname</t>
  </si>
  <si>
    <t>xx</t>
  </si>
  <si>
    <t>Other names</t>
  </si>
  <si>
    <t>Centre number</t>
  </si>
  <si>
    <t>Learner ID</t>
  </si>
  <si>
    <t>Copyright and Acknowledgements</t>
  </si>
  <si>
    <t xml:space="preserve">‘T-LEVELS’ is a registered trade mark of the Department for Education.	</t>
  </si>
  <si>
    <t>‘T Level’ is a registered trade mark of the Institute for Apprenticeships and Technical Education.</t>
  </si>
  <si>
    <t>The T Level Technical Qualification is a qualification approved and managed by the Institute for Apprenticeships and Technical Education.</t>
  </si>
  <si>
    <t>‘Institute for Apprenticeships &amp; Technical Education’ and logo are registered trade marks of the Institute for Apprenticeships and Technical Education.</t>
  </si>
  <si>
    <t>Pearson Education Limited is authorised by the Institute for Apprenticeships and Technical Education to develop and deliver this Technical Qualification.</t>
  </si>
  <si>
    <t>Pearson and logo are registered trade marks of Pearson.</t>
  </si>
  <si>
    <t>T Level Technical Qualification in Digital Software Development (Level 3)</t>
  </si>
  <si>
    <t xml:space="preserve">Employer-set Project
</t>
  </si>
  <si>
    <t xml:space="preserve">Task 1 RBSX Project Plan </t>
  </si>
  <si>
    <t>Copyright in this document belongs to, and is used under licence from, the Institute for Apprenticeships and Technical Education, © 2025</t>
  </si>
  <si>
    <t>Version 1.1 -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</si>
</sst>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rebuchet MS"/>
      <charset val="1"/>
    </font>
    <font>
      <b/>
      <sz val="11"/>
      <name val="Trebuchet MS"/>
      <charset val="1"/>
    </font>
    <font>
      <sz val="11"/>
      <color rgb="FF242424"/>
      <name val="Aptos Narrow"/>
      <charset val="1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14" fontId="0" fillId="0" borderId="4" xfId="0" applyNumberFormat="1" applyBorder="1"/>
    <xf numFmtId="0" fontId="3" fillId="2" borderId="8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7" xfId="0" applyBorder="1"/>
    <xf numFmtId="0" fontId="0" fillId="3" borderId="7" xfId="0" applyFill="1" applyBorder="1"/>
    <xf numFmtId="8" fontId="0" fillId="0" borderId="7" xfId="0" applyNumberFormat="1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4" fillId="0" borderId="7" xfId="0" applyFont="1" applyBorder="1" applyAlignment="1">
      <alignment horizontal="center" wrapText="1"/>
    </xf>
    <xf numFmtId="0" fontId="1" fillId="0" borderId="7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10" xfId="0" applyFont="1" applyBorder="1" applyAlignment="1">
      <alignment horizontal="left" wrapText="1"/>
    </xf>
    <xf numFmtId="0" fontId="5" fillId="0" borderId="9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0</xdr:row>
      <xdr:rowOff>95250</xdr:rowOff>
    </xdr:from>
    <xdr:to>
      <xdr:col>11</xdr:col>
      <xdr:colOff>150495</xdr:colOff>
      <xdr:row>2</xdr:row>
      <xdr:rowOff>76835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82A541-CD5B-2FFC-6A03-46758882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95250"/>
          <a:ext cx="3779520" cy="5340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43DEF-9C80-4E6D-B8BB-0C7D120B0B90}" name="Table1" displayName="Table1" ref="A9:B30" totalsRowShown="0" tableBorderDxfId="2">
  <autoFilter ref="A9:B30" xr:uid="{FF343DEF-9C80-4E6D-B8BB-0C7D120B0B90}"/>
  <tableColumns count="2">
    <tableColumn id="1" xr3:uid="{7313AF1F-15D2-40F8-9C20-94BFD8FA3043}" name="Task " dataDxfId="1"/>
    <tableColumn id="2" xr3:uid="{C7D92337-14BA-4ED7-B10C-640D4F8FC2E3}" name="Estimated number of work hours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Normal="100" workbookViewId="0">
      <selection activeCell="E30" sqref="E30"/>
    </sheetView>
  </sheetViews>
  <sheetFormatPr defaultRowHeight="14.5" x14ac:dyDescent="0.35"/>
  <cols>
    <col min="1" max="1" width="36.81640625" customWidth="1"/>
    <col min="2" max="2" width="18" customWidth="1"/>
    <col min="4" max="4" width="14.1796875" customWidth="1"/>
    <col min="5" max="5" width="23.1796875" customWidth="1"/>
  </cols>
  <sheetData>
    <row r="1" spans="1:7" x14ac:dyDescent="0.35">
      <c r="A1" s="1" t="s">
        <v>0</v>
      </c>
    </row>
    <row r="2" spans="1:7" x14ac:dyDescent="0.35">
      <c r="A2" s="21" t="s">
        <v>1</v>
      </c>
      <c r="B2" s="22"/>
    </row>
    <row r="3" spans="1:7" x14ac:dyDescent="0.35">
      <c r="A3" s="2" t="s">
        <v>2</v>
      </c>
      <c r="B3" s="6">
        <v>45199</v>
      </c>
    </row>
    <row r="4" spans="1:7" x14ac:dyDescent="0.35">
      <c r="A4" s="2" t="s">
        <v>3</v>
      </c>
      <c r="B4" s="3">
        <v>17</v>
      </c>
    </row>
    <row r="5" spans="1:7" x14ac:dyDescent="0.35">
      <c r="A5" s="2" t="s">
        <v>4</v>
      </c>
      <c r="B5" s="3">
        <f>B4*7</f>
        <v>119</v>
      </c>
    </row>
    <row r="6" spans="1:7" x14ac:dyDescent="0.35">
      <c r="A6" s="2" t="s">
        <v>5</v>
      </c>
      <c r="B6" s="3">
        <v>7</v>
      </c>
    </row>
    <row r="7" spans="1:7" x14ac:dyDescent="0.35">
      <c r="A7" s="4" t="s">
        <v>6</v>
      </c>
      <c r="B7" s="5">
        <v>0</v>
      </c>
    </row>
    <row r="9" spans="1:7" ht="43.5" x14ac:dyDescent="0.35">
      <c r="A9" s="8" t="s">
        <v>7</v>
      </c>
      <c r="B9" s="9" t="s">
        <v>8</v>
      </c>
      <c r="D9" s="7" t="s">
        <v>9</v>
      </c>
      <c r="E9" s="7" t="s">
        <v>10</v>
      </c>
      <c r="F9" s="7" t="s">
        <v>11</v>
      </c>
      <c r="G9" s="7" t="s">
        <v>12</v>
      </c>
    </row>
    <row r="10" spans="1:7" x14ac:dyDescent="0.35">
      <c r="A10" s="19" t="s">
        <v>13</v>
      </c>
      <c r="B10" s="23" t="s">
        <v>14</v>
      </c>
      <c r="D10" s="12" t="s">
        <v>15</v>
      </c>
      <c r="E10" s="12" t="s">
        <v>16</v>
      </c>
      <c r="F10" s="13"/>
      <c r="G10" s="14">
        <v>105</v>
      </c>
    </row>
    <row r="11" spans="1:7" x14ac:dyDescent="0.35">
      <c r="A11" s="19" t="s">
        <v>17</v>
      </c>
      <c r="B11" s="23" t="s">
        <v>18</v>
      </c>
      <c r="D11" s="12" t="s">
        <v>19</v>
      </c>
      <c r="E11" s="12" t="s">
        <v>20</v>
      </c>
      <c r="F11" s="15"/>
      <c r="G11" s="14">
        <v>25</v>
      </c>
    </row>
    <row r="12" spans="1:7" x14ac:dyDescent="0.35">
      <c r="A12" s="19" t="s">
        <v>21</v>
      </c>
      <c r="B12" s="23">
        <v>115</v>
      </c>
      <c r="D12" s="12" t="s">
        <v>22</v>
      </c>
      <c r="E12" s="12" t="s">
        <v>20</v>
      </c>
      <c r="F12" s="16"/>
      <c r="G12" s="14">
        <v>45</v>
      </c>
    </row>
    <row r="13" spans="1:7" x14ac:dyDescent="0.35">
      <c r="A13" s="19" t="s">
        <v>23</v>
      </c>
      <c r="B13" s="23" t="s">
        <v>24</v>
      </c>
      <c r="D13" s="12" t="s">
        <v>25</v>
      </c>
      <c r="E13" s="12" t="s">
        <v>26</v>
      </c>
      <c r="F13" s="17"/>
      <c r="G13" s="14">
        <v>47.5</v>
      </c>
    </row>
    <row r="14" spans="1:7" x14ac:dyDescent="0.35">
      <c r="A14" s="19" t="s">
        <v>27</v>
      </c>
      <c r="B14" s="23" t="s">
        <v>28</v>
      </c>
      <c r="D14" s="12" t="s">
        <v>29</v>
      </c>
      <c r="E14" s="12" t="s">
        <v>30</v>
      </c>
      <c r="F14" s="18"/>
      <c r="G14" s="14">
        <v>73</v>
      </c>
    </row>
    <row r="15" spans="1:7" x14ac:dyDescent="0.35">
      <c r="A15" s="19" t="s">
        <v>31</v>
      </c>
      <c r="B15" s="23">
        <v>147</v>
      </c>
    </row>
    <row r="16" spans="1:7" x14ac:dyDescent="0.35">
      <c r="A16" s="19" t="s">
        <v>32</v>
      </c>
      <c r="B16" s="23" t="s">
        <v>33</v>
      </c>
    </row>
    <row r="17" spans="1:2" x14ac:dyDescent="0.35">
      <c r="A17" s="19" t="s">
        <v>34</v>
      </c>
      <c r="B17" s="23" t="s">
        <v>35</v>
      </c>
    </row>
    <row r="18" spans="1:2" x14ac:dyDescent="0.35">
      <c r="A18" s="19" t="s">
        <v>36</v>
      </c>
      <c r="B18" s="24" t="s">
        <v>18</v>
      </c>
    </row>
    <row r="19" spans="1:2" x14ac:dyDescent="0.35">
      <c r="A19" s="19"/>
      <c r="B19" s="25" t="s">
        <v>37</v>
      </c>
    </row>
    <row r="20" spans="1:2" x14ac:dyDescent="0.35">
      <c r="A20" s="19" t="s">
        <v>38</v>
      </c>
      <c r="B20" s="24" t="s">
        <v>14</v>
      </c>
    </row>
    <row r="21" spans="1:2" x14ac:dyDescent="0.35">
      <c r="A21" s="19"/>
      <c r="B21" s="25" t="s">
        <v>37</v>
      </c>
    </row>
    <row r="22" spans="1:2" x14ac:dyDescent="0.35">
      <c r="A22" s="19" t="s">
        <v>39</v>
      </c>
      <c r="B22" s="24" t="s">
        <v>40</v>
      </c>
    </row>
    <row r="23" spans="1:2" x14ac:dyDescent="0.35">
      <c r="A23" s="19"/>
      <c r="B23" s="25" t="s">
        <v>37</v>
      </c>
    </row>
    <row r="24" spans="1:2" ht="35" customHeight="1" x14ac:dyDescent="0.35">
      <c r="A24" s="19" t="s">
        <v>41</v>
      </c>
      <c r="B24" s="24" t="s">
        <v>40</v>
      </c>
    </row>
    <row r="25" spans="1:2" ht="16.5" customHeight="1" x14ac:dyDescent="0.35">
      <c r="A25" s="19"/>
      <c r="B25" s="25" t="s">
        <v>42</v>
      </c>
    </row>
    <row r="26" spans="1:2" ht="37.5" customHeight="1" x14ac:dyDescent="0.35">
      <c r="A26" s="19" t="s">
        <v>43</v>
      </c>
      <c r="B26" s="24" t="s">
        <v>18</v>
      </c>
    </row>
    <row r="27" spans="1:2" ht="16.5" customHeight="1" x14ac:dyDescent="0.35">
      <c r="A27" s="19"/>
      <c r="B27" s="25" t="s">
        <v>42</v>
      </c>
    </row>
    <row r="28" spans="1:2" x14ac:dyDescent="0.35">
      <c r="A28" s="19" t="s">
        <v>44</v>
      </c>
      <c r="B28" s="23" t="s">
        <v>45</v>
      </c>
    </row>
    <row r="29" spans="1:2" x14ac:dyDescent="0.35">
      <c r="A29" s="19" t="s">
        <v>46</v>
      </c>
      <c r="B29" s="23" t="s">
        <v>40</v>
      </c>
    </row>
    <row r="30" spans="1:2" x14ac:dyDescent="0.35">
      <c r="A30" s="19" t="s">
        <v>47</v>
      </c>
      <c r="B30" s="23" t="s">
        <v>14</v>
      </c>
    </row>
  </sheetData>
  <mergeCells count="1">
    <mergeCell ref="A2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8A24-616C-4F82-A472-40D0197BD81A}">
  <dimension ref="A2:FD100"/>
  <sheetViews>
    <sheetView workbookViewId="0">
      <pane xSplit="4" ySplit="4" topLeftCell="E5" activePane="bottomRight" state="frozen"/>
      <selection pane="topRight"/>
      <selection pane="bottomLeft"/>
      <selection pane="bottomRight" activeCell="C6" sqref="C6"/>
    </sheetView>
  </sheetViews>
  <sheetFormatPr defaultRowHeight="14.5" x14ac:dyDescent="0.35"/>
  <cols>
    <col min="1" max="1" width="37.54296875" customWidth="1"/>
    <col min="2" max="2" width="26.7265625" customWidth="1"/>
    <col min="3" max="4" width="19.7265625" customWidth="1"/>
    <col min="5" max="6" width="11.1796875" bestFit="1" customWidth="1"/>
    <col min="7" max="7" width="11.54296875" bestFit="1" customWidth="1"/>
    <col min="8" max="13" width="11.1796875" bestFit="1" customWidth="1"/>
    <col min="14" max="14" width="11.54296875" bestFit="1" customWidth="1"/>
    <col min="15" max="20" width="11.1796875" bestFit="1" customWidth="1"/>
    <col min="21" max="21" width="11.54296875" bestFit="1" customWidth="1"/>
    <col min="22" max="27" width="11.1796875" bestFit="1" customWidth="1"/>
    <col min="28" max="28" width="11.54296875" bestFit="1" customWidth="1"/>
    <col min="29" max="34" width="11.1796875" bestFit="1" customWidth="1"/>
    <col min="35" max="35" width="11.54296875" bestFit="1" customWidth="1"/>
    <col min="36" max="41" width="11.1796875" bestFit="1" customWidth="1"/>
    <col min="42" max="42" width="11.54296875" bestFit="1" customWidth="1"/>
    <col min="43" max="48" width="11.1796875" bestFit="1" customWidth="1"/>
    <col min="49" max="49" width="11.54296875" bestFit="1" customWidth="1"/>
    <col min="50" max="55" width="11.1796875" bestFit="1" customWidth="1"/>
    <col min="56" max="56" width="11.54296875" bestFit="1" customWidth="1"/>
    <col min="57" max="62" width="11.1796875" bestFit="1" customWidth="1"/>
    <col min="63" max="63" width="11.54296875" bestFit="1" customWidth="1"/>
    <col min="64" max="69" width="11.1796875" bestFit="1" customWidth="1"/>
    <col min="70" max="70" width="11.54296875" bestFit="1" customWidth="1"/>
    <col min="71" max="76" width="11.1796875" bestFit="1" customWidth="1"/>
    <col min="77" max="77" width="11.54296875" bestFit="1" customWidth="1"/>
    <col min="78" max="83" width="11.1796875" bestFit="1" customWidth="1"/>
    <col min="84" max="84" width="11.54296875" bestFit="1" customWidth="1"/>
    <col min="85" max="90" width="11.1796875" bestFit="1" customWidth="1"/>
    <col min="91" max="91" width="11.54296875" bestFit="1" customWidth="1"/>
    <col min="92" max="97" width="11.1796875" bestFit="1" customWidth="1"/>
    <col min="98" max="98" width="11.54296875" bestFit="1" customWidth="1"/>
    <col min="99" max="104" width="11.1796875" bestFit="1" customWidth="1"/>
    <col min="105" max="105" width="11.54296875" bestFit="1" customWidth="1"/>
    <col min="106" max="111" width="11.1796875" bestFit="1" customWidth="1"/>
    <col min="112" max="112" width="11.54296875" bestFit="1" customWidth="1"/>
    <col min="113" max="118" width="11.1796875" bestFit="1" customWidth="1"/>
    <col min="119" max="119" width="11.54296875" bestFit="1" customWidth="1"/>
    <col min="120" max="125" width="11.1796875" bestFit="1" customWidth="1"/>
    <col min="126" max="126" width="11.54296875" bestFit="1" customWidth="1"/>
    <col min="127" max="132" width="11.1796875" bestFit="1" customWidth="1"/>
    <col min="133" max="133" width="11.54296875" bestFit="1" customWidth="1"/>
    <col min="134" max="139" width="11.1796875" bestFit="1" customWidth="1"/>
    <col min="140" max="140" width="11.54296875" bestFit="1" customWidth="1"/>
    <col min="141" max="146" width="11.1796875" bestFit="1" customWidth="1"/>
    <col min="147" max="147" width="11.54296875" bestFit="1" customWidth="1"/>
    <col min="148" max="153" width="11.1796875" bestFit="1" customWidth="1"/>
    <col min="154" max="154" width="11.54296875" bestFit="1" customWidth="1"/>
    <col min="155" max="160" width="11.1796875" bestFit="1" customWidth="1"/>
  </cols>
  <sheetData>
    <row r="2" spans="1:160" x14ac:dyDescent="0.35"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v>61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>
        <v>74</v>
      </c>
      <c r="CA2">
        <v>75</v>
      </c>
      <c r="CB2">
        <v>76</v>
      </c>
      <c r="CC2">
        <v>77</v>
      </c>
      <c r="CD2">
        <v>78</v>
      </c>
      <c r="CE2">
        <v>79</v>
      </c>
      <c r="CF2">
        <v>80</v>
      </c>
      <c r="CG2">
        <v>81</v>
      </c>
      <c r="CH2">
        <v>82</v>
      </c>
      <c r="CI2">
        <v>83</v>
      </c>
      <c r="CJ2">
        <v>84</v>
      </c>
      <c r="CK2">
        <v>85</v>
      </c>
      <c r="CL2">
        <v>86</v>
      </c>
      <c r="CM2">
        <v>87</v>
      </c>
      <c r="CN2">
        <v>88</v>
      </c>
      <c r="CO2">
        <v>89</v>
      </c>
      <c r="CP2">
        <v>90</v>
      </c>
      <c r="CQ2">
        <v>91</v>
      </c>
      <c r="CR2">
        <v>92</v>
      </c>
      <c r="CS2">
        <v>93</v>
      </c>
      <c r="CT2">
        <v>94</v>
      </c>
      <c r="CU2">
        <v>95</v>
      </c>
      <c r="CV2">
        <v>96</v>
      </c>
      <c r="CW2">
        <v>97</v>
      </c>
      <c r="CX2">
        <v>98</v>
      </c>
      <c r="CY2">
        <v>99</v>
      </c>
      <c r="CZ2">
        <v>100</v>
      </c>
      <c r="DA2">
        <v>101</v>
      </c>
      <c r="DB2">
        <v>102</v>
      </c>
      <c r="DC2">
        <v>103</v>
      </c>
      <c r="DD2">
        <v>104</v>
      </c>
      <c r="DE2">
        <v>105</v>
      </c>
      <c r="DF2">
        <v>106</v>
      </c>
      <c r="DG2">
        <v>107</v>
      </c>
      <c r="DH2">
        <v>108</v>
      </c>
      <c r="DI2">
        <v>109</v>
      </c>
      <c r="DJ2">
        <v>110</v>
      </c>
      <c r="DK2">
        <v>111</v>
      </c>
      <c r="DL2">
        <v>112</v>
      </c>
      <c r="DM2">
        <v>113</v>
      </c>
      <c r="DN2">
        <v>114</v>
      </c>
      <c r="DO2">
        <v>115</v>
      </c>
      <c r="DP2">
        <v>116</v>
      </c>
      <c r="DQ2">
        <v>117</v>
      </c>
      <c r="DR2">
        <v>118</v>
      </c>
      <c r="DS2">
        <v>119</v>
      </c>
      <c r="DT2">
        <v>120</v>
      </c>
      <c r="DU2">
        <v>121</v>
      </c>
      <c r="DV2">
        <v>122</v>
      </c>
      <c r="DW2">
        <v>123</v>
      </c>
      <c r="DX2">
        <v>124</v>
      </c>
      <c r="DY2">
        <v>125</v>
      </c>
      <c r="DZ2">
        <v>126</v>
      </c>
      <c r="EA2">
        <v>127</v>
      </c>
      <c r="EB2">
        <v>128</v>
      </c>
      <c r="EC2">
        <v>129</v>
      </c>
      <c r="ED2">
        <v>130</v>
      </c>
      <c r="EE2">
        <v>131</v>
      </c>
      <c r="EF2">
        <v>132</v>
      </c>
      <c r="EG2">
        <v>133</v>
      </c>
      <c r="EH2">
        <v>134</v>
      </c>
      <c r="EI2">
        <v>135</v>
      </c>
      <c r="EJ2">
        <v>136</v>
      </c>
      <c r="EK2">
        <v>137</v>
      </c>
      <c r="EL2">
        <v>138</v>
      </c>
      <c r="EM2">
        <v>139</v>
      </c>
      <c r="EN2">
        <v>140</v>
      </c>
      <c r="EO2">
        <v>141</v>
      </c>
      <c r="EP2">
        <v>142</v>
      </c>
      <c r="EQ2">
        <v>143</v>
      </c>
      <c r="ER2">
        <v>144</v>
      </c>
      <c r="ES2">
        <v>145</v>
      </c>
      <c r="ET2">
        <v>146</v>
      </c>
      <c r="EU2">
        <v>147</v>
      </c>
      <c r="EV2">
        <v>148</v>
      </c>
      <c r="EW2">
        <v>149</v>
      </c>
      <c r="EX2">
        <v>150</v>
      </c>
      <c r="EY2">
        <v>151</v>
      </c>
      <c r="EZ2">
        <v>152</v>
      </c>
      <c r="FA2">
        <v>153</v>
      </c>
      <c r="FB2">
        <v>154</v>
      </c>
      <c r="FC2">
        <v>155</v>
      </c>
      <c r="FD2">
        <v>156</v>
      </c>
    </row>
    <row r="3" spans="1:160" s="1" customFormat="1" x14ac:dyDescent="0.35"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48</v>
      </c>
      <c r="T3" s="1" t="s">
        <v>49</v>
      </c>
      <c r="U3" s="1" t="s">
        <v>50</v>
      </c>
      <c r="V3" s="1" t="s">
        <v>51</v>
      </c>
      <c r="W3" s="1" t="s">
        <v>52</v>
      </c>
      <c r="X3" s="1" t="s">
        <v>53</v>
      </c>
      <c r="Y3" s="1" t="s">
        <v>54</v>
      </c>
      <c r="Z3" s="1" t="s">
        <v>48</v>
      </c>
      <c r="AA3" s="1" t="s">
        <v>49</v>
      </c>
      <c r="AB3" s="1" t="s">
        <v>50</v>
      </c>
      <c r="AC3" s="1" t="s">
        <v>51</v>
      </c>
      <c r="AD3" s="1" t="s">
        <v>52</v>
      </c>
      <c r="AE3" s="1" t="s">
        <v>53</v>
      </c>
      <c r="AF3" s="1" t="s">
        <v>54</v>
      </c>
      <c r="AG3" s="1" t="s">
        <v>48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48</v>
      </c>
      <c r="AO3" s="1" t="s">
        <v>49</v>
      </c>
      <c r="AP3" s="1" t="s">
        <v>50</v>
      </c>
      <c r="AQ3" s="1" t="s">
        <v>51</v>
      </c>
      <c r="AR3" s="1" t="s">
        <v>52</v>
      </c>
      <c r="AS3" s="1" t="s">
        <v>53</v>
      </c>
      <c r="AT3" s="1" t="s">
        <v>54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48</v>
      </c>
      <c r="BC3" s="1" t="s">
        <v>49</v>
      </c>
      <c r="BD3" s="1" t="s">
        <v>50</v>
      </c>
      <c r="BE3" s="1" t="s">
        <v>51</v>
      </c>
      <c r="BF3" s="1" t="s">
        <v>52</v>
      </c>
      <c r="BG3" s="1" t="s">
        <v>53</v>
      </c>
      <c r="BH3" s="1" t="s">
        <v>54</v>
      </c>
      <c r="BI3" s="1" t="s">
        <v>48</v>
      </c>
      <c r="BJ3" s="1" t="s">
        <v>49</v>
      </c>
      <c r="BK3" s="1" t="s">
        <v>50</v>
      </c>
      <c r="BL3" s="1" t="s">
        <v>51</v>
      </c>
      <c r="BM3" s="1" t="s">
        <v>52</v>
      </c>
      <c r="BN3" s="1" t="s">
        <v>53</v>
      </c>
      <c r="BO3" s="1" t="s">
        <v>54</v>
      </c>
      <c r="BP3" s="1" t="s">
        <v>48</v>
      </c>
      <c r="BQ3" s="1" t="s">
        <v>49</v>
      </c>
      <c r="BR3" s="1" t="s">
        <v>50</v>
      </c>
      <c r="BS3" s="1" t="s">
        <v>51</v>
      </c>
      <c r="BT3" s="1" t="s">
        <v>52</v>
      </c>
      <c r="BU3" s="1" t="s">
        <v>53</v>
      </c>
      <c r="BV3" s="1" t="s">
        <v>54</v>
      </c>
      <c r="BW3" s="1" t="s">
        <v>48</v>
      </c>
      <c r="BX3" s="1" t="s">
        <v>49</v>
      </c>
      <c r="BY3" s="1" t="s">
        <v>50</v>
      </c>
      <c r="BZ3" s="1" t="s">
        <v>51</v>
      </c>
      <c r="CA3" s="1" t="s">
        <v>52</v>
      </c>
      <c r="CB3" s="1" t="s">
        <v>53</v>
      </c>
      <c r="CC3" s="1" t="s">
        <v>54</v>
      </c>
      <c r="CD3" s="1" t="s">
        <v>48</v>
      </c>
      <c r="CE3" s="1" t="s">
        <v>49</v>
      </c>
      <c r="CF3" s="1" t="s">
        <v>50</v>
      </c>
      <c r="CG3" s="1" t="s">
        <v>51</v>
      </c>
      <c r="CH3" s="1" t="s">
        <v>52</v>
      </c>
      <c r="CI3" s="1" t="s">
        <v>53</v>
      </c>
      <c r="CJ3" s="1" t="s">
        <v>54</v>
      </c>
      <c r="CK3" s="1" t="s">
        <v>48</v>
      </c>
      <c r="CL3" s="1" t="s">
        <v>49</v>
      </c>
      <c r="CM3" s="1" t="s">
        <v>50</v>
      </c>
      <c r="CN3" s="1" t="s">
        <v>51</v>
      </c>
      <c r="CO3" s="1" t="s">
        <v>52</v>
      </c>
      <c r="CP3" s="1" t="s">
        <v>53</v>
      </c>
      <c r="CQ3" s="1" t="s">
        <v>54</v>
      </c>
      <c r="CR3" s="1" t="s">
        <v>48</v>
      </c>
      <c r="CS3" s="1" t="s">
        <v>49</v>
      </c>
      <c r="CT3" s="1" t="s">
        <v>50</v>
      </c>
      <c r="CU3" s="1" t="s">
        <v>51</v>
      </c>
      <c r="CV3" s="1" t="s">
        <v>52</v>
      </c>
      <c r="CW3" s="1" t="s">
        <v>53</v>
      </c>
      <c r="CX3" s="1" t="s">
        <v>54</v>
      </c>
      <c r="CY3" s="1" t="s">
        <v>48</v>
      </c>
      <c r="CZ3" s="1" t="s">
        <v>49</v>
      </c>
      <c r="DA3" s="1" t="s">
        <v>50</v>
      </c>
      <c r="DB3" s="1" t="s">
        <v>51</v>
      </c>
      <c r="DC3" s="1" t="s">
        <v>52</v>
      </c>
      <c r="DD3" s="1" t="s">
        <v>53</v>
      </c>
      <c r="DE3" s="1" t="s">
        <v>54</v>
      </c>
      <c r="DF3" s="1" t="s">
        <v>48</v>
      </c>
      <c r="DG3" s="1" t="s">
        <v>49</v>
      </c>
      <c r="DH3" s="1" t="s">
        <v>50</v>
      </c>
      <c r="DI3" s="1" t="s">
        <v>51</v>
      </c>
      <c r="DJ3" s="1" t="s">
        <v>52</v>
      </c>
      <c r="DK3" s="1" t="s">
        <v>53</v>
      </c>
      <c r="DL3" s="1" t="s">
        <v>54</v>
      </c>
      <c r="DM3" s="1" t="s">
        <v>48</v>
      </c>
      <c r="DN3" s="1" t="s">
        <v>49</v>
      </c>
      <c r="DO3" s="1" t="s">
        <v>50</v>
      </c>
      <c r="DP3" s="1" t="s">
        <v>51</v>
      </c>
      <c r="DQ3" s="1" t="s">
        <v>52</v>
      </c>
      <c r="DR3" s="1" t="s">
        <v>53</v>
      </c>
      <c r="DS3" s="1" t="s">
        <v>54</v>
      </c>
      <c r="DT3" s="1" t="s">
        <v>48</v>
      </c>
      <c r="DU3" s="1" t="s">
        <v>49</v>
      </c>
      <c r="DV3" s="1" t="s">
        <v>50</v>
      </c>
      <c r="DW3" s="1" t="s">
        <v>51</v>
      </c>
      <c r="DX3" s="1" t="s">
        <v>52</v>
      </c>
      <c r="DY3" s="1" t="s">
        <v>53</v>
      </c>
      <c r="DZ3" s="1" t="s">
        <v>54</v>
      </c>
      <c r="EA3" s="1" t="s">
        <v>48</v>
      </c>
      <c r="EB3" s="1" t="s">
        <v>49</v>
      </c>
      <c r="EC3" s="1" t="s">
        <v>50</v>
      </c>
      <c r="ED3" s="1" t="s">
        <v>51</v>
      </c>
      <c r="EE3" s="1" t="s">
        <v>52</v>
      </c>
      <c r="EF3" s="1" t="s">
        <v>53</v>
      </c>
      <c r="EG3" s="1" t="s">
        <v>54</v>
      </c>
      <c r="EH3" s="1" t="s">
        <v>48</v>
      </c>
      <c r="EI3" s="1" t="s">
        <v>49</v>
      </c>
      <c r="EJ3" s="1" t="s">
        <v>50</v>
      </c>
      <c r="EK3" s="1" t="s">
        <v>51</v>
      </c>
      <c r="EL3" s="1" t="s">
        <v>52</v>
      </c>
      <c r="EM3" s="1" t="s">
        <v>53</v>
      </c>
      <c r="EN3" s="1" t="s">
        <v>54</v>
      </c>
      <c r="EO3" s="1" t="s">
        <v>48</v>
      </c>
      <c r="EP3" s="1" t="s">
        <v>49</v>
      </c>
      <c r="EQ3" s="1" t="s">
        <v>50</v>
      </c>
      <c r="ER3" s="1" t="s">
        <v>51</v>
      </c>
      <c r="ES3" s="1" t="s">
        <v>52</v>
      </c>
      <c r="ET3" s="1" t="s">
        <v>53</v>
      </c>
      <c r="EU3" s="1" t="s">
        <v>54</v>
      </c>
      <c r="EV3" s="1" t="s">
        <v>48</v>
      </c>
      <c r="EW3" s="1" t="s">
        <v>49</v>
      </c>
      <c r="EX3" s="1" t="s">
        <v>50</v>
      </c>
      <c r="EY3" s="1" t="s">
        <v>51</v>
      </c>
      <c r="EZ3" s="1" t="s">
        <v>52</v>
      </c>
      <c r="FA3" s="1" t="s">
        <v>53</v>
      </c>
      <c r="FB3" s="1" t="s">
        <v>54</v>
      </c>
      <c r="FC3" s="1" t="s">
        <v>48</v>
      </c>
      <c r="FD3" s="1" t="s">
        <v>49</v>
      </c>
    </row>
    <row r="4" spans="1:160" x14ac:dyDescent="0.35">
      <c r="E4" s="10">
        <v>45565</v>
      </c>
      <c r="F4" s="10">
        <v>45566</v>
      </c>
      <c r="G4" s="10">
        <v>45567</v>
      </c>
      <c r="H4" s="10">
        <v>45568</v>
      </c>
      <c r="I4" s="10">
        <v>45569</v>
      </c>
      <c r="J4" s="10">
        <v>45570</v>
      </c>
      <c r="K4" s="10">
        <v>45571</v>
      </c>
      <c r="L4" s="10">
        <v>45572</v>
      </c>
      <c r="M4" s="10">
        <v>45573</v>
      </c>
      <c r="N4" s="10">
        <v>45574</v>
      </c>
      <c r="O4" s="10">
        <v>45575</v>
      </c>
      <c r="P4" s="10">
        <v>45576</v>
      </c>
      <c r="Q4" s="10">
        <v>45577</v>
      </c>
      <c r="R4" s="10">
        <v>45578</v>
      </c>
      <c r="S4" s="10">
        <v>45579</v>
      </c>
      <c r="T4" s="10">
        <v>45580</v>
      </c>
      <c r="U4" s="10">
        <v>45581</v>
      </c>
      <c r="V4" s="10">
        <v>45582</v>
      </c>
      <c r="W4" s="10">
        <v>45583</v>
      </c>
      <c r="X4" s="10">
        <v>45584</v>
      </c>
      <c r="Y4" s="10">
        <v>45585</v>
      </c>
      <c r="Z4" s="10">
        <v>45586</v>
      </c>
      <c r="AA4" s="10">
        <v>45587</v>
      </c>
      <c r="AB4" s="10">
        <v>45588</v>
      </c>
      <c r="AC4" s="10">
        <v>45589</v>
      </c>
      <c r="AD4" s="10">
        <v>45590</v>
      </c>
      <c r="AE4" s="10">
        <v>45591</v>
      </c>
      <c r="AF4" s="10">
        <v>45592</v>
      </c>
      <c r="AG4" s="10">
        <v>45593</v>
      </c>
      <c r="AH4" s="10">
        <v>45594</v>
      </c>
      <c r="AI4" s="10">
        <v>45595</v>
      </c>
      <c r="AJ4" s="10">
        <v>45596</v>
      </c>
      <c r="AK4" s="10">
        <v>45597</v>
      </c>
      <c r="AL4" s="10">
        <v>45598</v>
      </c>
      <c r="AM4" s="10">
        <v>45599</v>
      </c>
      <c r="AN4" s="10">
        <v>45600</v>
      </c>
      <c r="AO4" s="10">
        <v>45601</v>
      </c>
      <c r="AP4" s="10">
        <v>45602</v>
      </c>
      <c r="AQ4" s="10">
        <v>45603</v>
      </c>
      <c r="AR4" s="10">
        <v>45604</v>
      </c>
      <c r="AS4" s="10">
        <v>45605</v>
      </c>
      <c r="AT4" s="10">
        <v>45606</v>
      </c>
      <c r="AU4" s="10">
        <v>45607</v>
      </c>
      <c r="AV4" s="10">
        <v>45608</v>
      </c>
      <c r="AW4" s="10">
        <v>45609</v>
      </c>
      <c r="AX4" s="10">
        <v>45610</v>
      </c>
      <c r="AY4" s="10">
        <v>45611</v>
      </c>
      <c r="AZ4" s="10">
        <v>45612</v>
      </c>
      <c r="BA4" s="10">
        <v>45613</v>
      </c>
      <c r="BB4" s="10">
        <v>45614</v>
      </c>
      <c r="BC4" s="10">
        <v>45615</v>
      </c>
      <c r="BD4" s="10">
        <v>45616</v>
      </c>
      <c r="BE4" s="10">
        <v>45617</v>
      </c>
      <c r="BF4" s="10">
        <v>45618</v>
      </c>
      <c r="BG4" s="10">
        <v>45619</v>
      </c>
      <c r="BH4" s="10">
        <v>45620</v>
      </c>
      <c r="BI4" s="10">
        <v>45621</v>
      </c>
      <c r="BJ4" s="10">
        <v>45622</v>
      </c>
      <c r="BK4" s="10">
        <v>45623</v>
      </c>
      <c r="BL4" s="10">
        <v>45624</v>
      </c>
      <c r="BM4" s="10">
        <v>45625</v>
      </c>
      <c r="BN4" s="10">
        <v>45626</v>
      </c>
      <c r="BO4" s="10">
        <v>45627</v>
      </c>
      <c r="BP4" s="10">
        <v>45628</v>
      </c>
      <c r="BQ4" s="10">
        <v>45629</v>
      </c>
      <c r="BR4" s="10">
        <v>45630</v>
      </c>
      <c r="BS4" s="10">
        <v>45631</v>
      </c>
      <c r="BT4" s="10">
        <v>45632</v>
      </c>
      <c r="BU4" s="10">
        <v>45633</v>
      </c>
      <c r="BV4" s="10">
        <v>45634</v>
      </c>
      <c r="BW4" s="10">
        <v>45635</v>
      </c>
      <c r="BX4" s="10">
        <v>45636</v>
      </c>
      <c r="BY4" s="10">
        <v>45637</v>
      </c>
      <c r="BZ4" s="10">
        <v>45638</v>
      </c>
      <c r="CA4" s="10">
        <v>45639</v>
      </c>
      <c r="CB4" s="10">
        <v>45640</v>
      </c>
      <c r="CC4" s="10">
        <v>45641</v>
      </c>
      <c r="CD4" s="10">
        <v>45642</v>
      </c>
      <c r="CE4" s="10">
        <v>45643</v>
      </c>
      <c r="CF4" s="10">
        <v>45644</v>
      </c>
      <c r="CG4" s="10">
        <v>45645</v>
      </c>
      <c r="CH4" s="10">
        <v>45646</v>
      </c>
      <c r="CI4" s="10">
        <v>45647</v>
      </c>
      <c r="CJ4" s="10">
        <v>45648</v>
      </c>
      <c r="CK4" s="10">
        <v>45649</v>
      </c>
      <c r="CL4" s="10">
        <v>45650</v>
      </c>
      <c r="CM4" s="10">
        <v>45651</v>
      </c>
      <c r="CN4" s="10">
        <v>45652</v>
      </c>
      <c r="CO4" s="10">
        <v>45653</v>
      </c>
      <c r="CP4" s="10">
        <v>45654</v>
      </c>
      <c r="CQ4" s="10">
        <v>45655</v>
      </c>
      <c r="CR4" s="10">
        <v>45656</v>
      </c>
      <c r="CS4" s="10">
        <v>45657</v>
      </c>
      <c r="CT4" s="10">
        <v>45658</v>
      </c>
      <c r="CU4" s="10">
        <v>45659</v>
      </c>
      <c r="CV4" s="10">
        <v>45660</v>
      </c>
      <c r="CW4" s="10">
        <v>45661</v>
      </c>
      <c r="CX4" s="10">
        <v>45662</v>
      </c>
      <c r="CY4" s="10">
        <v>45663</v>
      </c>
      <c r="CZ4" s="10">
        <v>45664</v>
      </c>
      <c r="DA4" s="10">
        <v>45665</v>
      </c>
      <c r="DB4" s="10">
        <v>45666</v>
      </c>
      <c r="DC4" s="10">
        <v>45667</v>
      </c>
      <c r="DD4" s="10">
        <v>45668</v>
      </c>
      <c r="DE4" s="10">
        <v>45669</v>
      </c>
      <c r="DF4" s="10">
        <v>45670</v>
      </c>
      <c r="DG4" s="10">
        <v>45671</v>
      </c>
      <c r="DH4" s="10">
        <v>45672</v>
      </c>
      <c r="DI4" s="10">
        <v>45673</v>
      </c>
      <c r="DJ4" s="10">
        <v>45674</v>
      </c>
      <c r="DK4" s="10">
        <v>45675</v>
      </c>
      <c r="DL4" s="10">
        <v>45676</v>
      </c>
      <c r="DM4" s="10">
        <v>45677</v>
      </c>
      <c r="DN4" s="10">
        <v>45678</v>
      </c>
      <c r="DO4" s="10">
        <v>45679</v>
      </c>
      <c r="DP4" s="10">
        <v>45680</v>
      </c>
      <c r="DQ4" s="10">
        <v>45681</v>
      </c>
      <c r="DR4" s="10">
        <v>45682</v>
      </c>
      <c r="DS4" s="10">
        <v>45683</v>
      </c>
      <c r="DT4" s="10">
        <v>45684</v>
      </c>
      <c r="DU4" s="10">
        <v>45685</v>
      </c>
      <c r="DV4" s="10">
        <v>45686</v>
      </c>
      <c r="DW4" s="10">
        <v>45687</v>
      </c>
      <c r="DX4" s="10">
        <v>45688</v>
      </c>
      <c r="DY4" s="10">
        <v>45689</v>
      </c>
      <c r="DZ4" s="10">
        <v>45690</v>
      </c>
      <c r="EA4" s="10">
        <v>45691</v>
      </c>
      <c r="EB4" s="10">
        <v>45692</v>
      </c>
      <c r="EC4" s="10">
        <v>45693</v>
      </c>
      <c r="ED4" s="10">
        <v>45694</v>
      </c>
      <c r="EE4" s="10">
        <v>45695</v>
      </c>
      <c r="EF4" s="10">
        <v>45696</v>
      </c>
      <c r="EG4" s="10">
        <v>45697</v>
      </c>
      <c r="EH4" s="10">
        <v>45698</v>
      </c>
      <c r="EI4" s="10">
        <v>45699</v>
      </c>
      <c r="EJ4" s="10">
        <v>45700</v>
      </c>
      <c r="EK4" s="10">
        <v>45701</v>
      </c>
      <c r="EL4" s="10">
        <v>45702</v>
      </c>
      <c r="EM4" s="10">
        <v>45703</v>
      </c>
      <c r="EN4" s="10">
        <v>45704</v>
      </c>
      <c r="EO4" s="10">
        <v>45705</v>
      </c>
      <c r="EP4" s="10">
        <v>45706</v>
      </c>
      <c r="EQ4" s="10">
        <v>45707</v>
      </c>
      <c r="ER4" s="10">
        <v>45708</v>
      </c>
      <c r="ES4" s="10">
        <v>45709</v>
      </c>
      <c r="ET4" s="10">
        <v>45710</v>
      </c>
      <c r="EU4" s="10">
        <v>45711</v>
      </c>
      <c r="EV4" s="10">
        <v>45712</v>
      </c>
      <c r="EW4" s="10">
        <v>45713</v>
      </c>
      <c r="EX4" s="10">
        <v>45714</v>
      </c>
      <c r="EY4" s="10">
        <v>45715</v>
      </c>
      <c r="EZ4" s="10">
        <v>45716</v>
      </c>
      <c r="FA4" s="10">
        <v>45717</v>
      </c>
      <c r="FB4" s="10">
        <v>45718</v>
      </c>
      <c r="FC4" s="10">
        <v>45719</v>
      </c>
      <c r="FD4" s="10">
        <v>45720</v>
      </c>
    </row>
    <row r="5" spans="1:160" ht="29" x14ac:dyDescent="0.35">
      <c r="A5" s="1" t="s">
        <v>55</v>
      </c>
      <c r="B5" s="1" t="s">
        <v>56</v>
      </c>
      <c r="C5" s="1" t="s">
        <v>57</v>
      </c>
      <c r="D5" s="11" t="s">
        <v>58</v>
      </c>
      <c r="E5" s="10"/>
    </row>
    <row r="6" spans="1:160" x14ac:dyDescent="0.35">
      <c r="D6">
        <f t="shared" ref="D6:D25" si="0">SUM(E6:EI6)</f>
        <v>0</v>
      </c>
    </row>
    <row r="7" spans="1:160" x14ac:dyDescent="0.35">
      <c r="D7">
        <f t="shared" si="0"/>
        <v>0</v>
      </c>
    </row>
    <row r="8" spans="1:160" x14ac:dyDescent="0.35">
      <c r="D8">
        <f t="shared" si="0"/>
        <v>0</v>
      </c>
    </row>
    <row r="9" spans="1:160" x14ac:dyDescent="0.35">
      <c r="D9">
        <f t="shared" si="0"/>
        <v>0</v>
      </c>
    </row>
    <row r="10" spans="1:160" x14ac:dyDescent="0.35">
      <c r="D10">
        <f t="shared" si="0"/>
        <v>0</v>
      </c>
    </row>
    <row r="11" spans="1:160" x14ac:dyDescent="0.35">
      <c r="D11">
        <f t="shared" si="0"/>
        <v>0</v>
      </c>
    </row>
    <row r="12" spans="1:160" x14ac:dyDescent="0.35">
      <c r="D12">
        <f t="shared" si="0"/>
        <v>0</v>
      </c>
    </row>
    <row r="13" spans="1:160" x14ac:dyDescent="0.35">
      <c r="D13">
        <f t="shared" si="0"/>
        <v>0</v>
      </c>
    </row>
    <row r="14" spans="1:160" x14ac:dyDescent="0.35">
      <c r="D14">
        <f t="shared" si="0"/>
        <v>0</v>
      </c>
    </row>
    <row r="15" spans="1:160" x14ac:dyDescent="0.35">
      <c r="D15">
        <f t="shared" si="0"/>
        <v>0</v>
      </c>
    </row>
    <row r="16" spans="1:160" x14ac:dyDescent="0.35">
      <c r="D16">
        <f t="shared" si="0"/>
        <v>0</v>
      </c>
    </row>
    <row r="17" spans="4:4" x14ac:dyDescent="0.35">
      <c r="D17">
        <f t="shared" si="0"/>
        <v>0</v>
      </c>
    </row>
    <row r="18" spans="4:4" x14ac:dyDescent="0.35">
      <c r="D18">
        <f t="shared" si="0"/>
        <v>0</v>
      </c>
    </row>
    <row r="19" spans="4:4" x14ac:dyDescent="0.35">
      <c r="D19">
        <f t="shared" si="0"/>
        <v>0</v>
      </c>
    </row>
    <row r="20" spans="4:4" x14ac:dyDescent="0.35">
      <c r="D20">
        <f t="shared" si="0"/>
        <v>0</v>
      </c>
    </row>
    <row r="21" spans="4:4" x14ac:dyDescent="0.35">
      <c r="D21">
        <f t="shared" si="0"/>
        <v>0</v>
      </c>
    </row>
    <row r="22" spans="4:4" x14ac:dyDescent="0.35">
      <c r="D22">
        <f t="shared" si="0"/>
        <v>0</v>
      </c>
    </row>
    <row r="23" spans="4:4" x14ac:dyDescent="0.35">
      <c r="D23">
        <f t="shared" si="0"/>
        <v>0</v>
      </c>
    </row>
    <row r="24" spans="4:4" x14ac:dyDescent="0.35">
      <c r="D24">
        <f t="shared" si="0"/>
        <v>0</v>
      </c>
    </row>
    <row r="25" spans="4:4" x14ac:dyDescent="0.35">
      <c r="D25">
        <f t="shared" si="0"/>
        <v>0</v>
      </c>
    </row>
    <row r="26" spans="4:4" x14ac:dyDescent="0.35">
      <c r="D26">
        <f t="shared" ref="D26:D89" si="1">SUM(E26:EI26)</f>
        <v>0</v>
      </c>
    </row>
    <row r="27" spans="4:4" x14ac:dyDescent="0.35">
      <c r="D27">
        <f t="shared" si="1"/>
        <v>0</v>
      </c>
    </row>
    <row r="28" spans="4:4" x14ac:dyDescent="0.35">
      <c r="D28">
        <f t="shared" si="1"/>
        <v>0</v>
      </c>
    </row>
    <row r="29" spans="4:4" x14ac:dyDescent="0.35">
      <c r="D29">
        <f t="shared" si="1"/>
        <v>0</v>
      </c>
    </row>
    <row r="30" spans="4:4" x14ac:dyDescent="0.35">
      <c r="D30">
        <f t="shared" si="1"/>
        <v>0</v>
      </c>
    </row>
    <row r="31" spans="4:4" x14ac:dyDescent="0.35">
      <c r="D31">
        <f t="shared" si="1"/>
        <v>0</v>
      </c>
    </row>
    <row r="32" spans="4:4" x14ac:dyDescent="0.35">
      <c r="D32">
        <f t="shared" si="1"/>
        <v>0</v>
      </c>
    </row>
    <row r="33" spans="4:4" x14ac:dyDescent="0.35">
      <c r="D33">
        <f t="shared" si="1"/>
        <v>0</v>
      </c>
    </row>
    <row r="34" spans="4:4" x14ac:dyDescent="0.35">
      <c r="D34">
        <f t="shared" si="1"/>
        <v>0</v>
      </c>
    </row>
    <row r="35" spans="4:4" x14ac:dyDescent="0.35">
      <c r="D35">
        <f t="shared" si="1"/>
        <v>0</v>
      </c>
    </row>
    <row r="36" spans="4:4" x14ac:dyDescent="0.35">
      <c r="D36">
        <f t="shared" si="1"/>
        <v>0</v>
      </c>
    </row>
    <row r="37" spans="4:4" x14ac:dyDescent="0.35">
      <c r="D37">
        <f t="shared" si="1"/>
        <v>0</v>
      </c>
    </row>
    <row r="38" spans="4:4" x14ac:dyDescent="0.35">
      <c r="D38">
        <f t="shared" si="1"/>
        <v>0</v>
      </c>
    </row>
    <row r="39" spans="4:4" x14ac:dyDescent="0.35">
      <c r="D39">
        <f t="shared" si="1"/>
        <v>0</v>
      </c>
    </row>
    <row r="40" spans="4:4" x14ac:dyDescent="0.35">
      <c r="D40">
        <f t="shared" si="1"/>
        <v>0</v>
      </c>
    </row>
    <row r="41" spans="4:4" x14ac:dyDescent="0.35">
      <c r="D41">
        <f t="shared" si="1"/>
        <v>0</v>
      </c>
    </row>
    <row r="42" spans="4:4" x14ac:dyDescent="0.35">
      <c r="D42">
        <f t="shared" si="1"/>
        <v>0</v>
      </c>
    </row>
    <row r="43" spans="4:4" x14ac:dyDescent="0.35">
      <c r="D43">
        <f t="shared" si="1"/>
        <v>0</v>
      </c>
    </row>
    <row r="44" spans="4:4" x14ac:dyDescent="0.35">
      <c r="D44">
        <f t="shared" si="1"/>
        <v>0</v>
      </c>
    </row>
    <row r="45" spans="4:4" x14ac:dyDescent="0.35">
      <c r="D45">
        <f t="shared" si="1"/>
        <v>0</v>
      </c>
    </row>
    <row r="46" spans="4:4" x14ac:dyDescent="0.35">
      <c r="D46">
        <f t="shared" si="1"/>
        <v>0</v>
      </c>
    </row>
    <row r="47" spans="4:4" x14ac:dyDescent="0.35">
      <c r="D47">
        <f t="shared" si="1"/>
        <v>0</v>
      </c>
    </row>
    <row r="48" spans="4:4" x14ac:dyDescent="0.35">
      <c r="D48">
        <f t="shared" si="1"/>
        <v>0</v>
      </c>
    </row>
    <row r="49" spans="4:4" x14ac:dyDescent="0.35">
      <c r="D49">
        <f t="shared" si="1"/>
        <v>0</v>
      </c>
    </row>
    <row r="50" spans="4:4" x14ac:dyDescent="0.35">
      <c r="D50">
        <f t="shared" si="1"/>
        <v>0</v>
      </c>
    </row>
    <row r="51" spans="4:4" x14ac:dyDescent="0.35">
      <c r="D51">
        <f t="shared" si="1"/>
        <v>0</v>
      </c>
    </row>
    <row r="52" spans="4:4" x14ac:dyDescent="0.35">
      <c r="D52">
        <f t="shared" si="1"/>
        <v>0</v>
      </c>
    </row>
    <row r="53" spans="4:4" x14ac:dyDescent="0.35">
      <c r="D53">
        <f t="shared" si="1"/>
        <v>0</v>
      </c>
    </row>
    <row r="54" spans="4:4" x14ac:dyDescent="0.35">
      <c r="D54">
        <f t="shared" si="1"/>
        <v>0</v>
      </c>
    </row>
    <row r="55" spans="4:4" x14ac:dyDescent="0.35">
      <c r="D55">
        <f t="shared" si="1"/>
        <v>0</v>
      </c>
    </row>
    <row r="56" spans="4:4" x14ac:dyDescent="0.35">
      <c r="D56">
        <f t="shared" si="1"/>
        <v>0</v>
      </c>
    </row>
    <row r="57" spans="4:4" x14ac:dyDescent="0.35">
      <c r="D57">
        <f t="shared" si="1"/>
        <v>0</v>
      </c>
    </row>
    <row r="58" spans="4:4" x14ac:dyDescent="0.35">
      <c r="D58">
        <f t="shared" si="1"/>
        <v>0</v>
      </c>
    </row>
    <row r="59" spans="4:4" x14ac:dyDescent="0.35">
      <c r="D59">
        <f t="shared" si="1"/>
        <v>0</v>
      </c>
    </row>
    <row r="60" spans="4:4" x14ac:dyDescent="0.35">
      <c r="D60">
        <f t="shared" si="1"/>
        <v>0</v>
      </c>
    </row>
    <row r="61" spans="4:4" x14ac:dyDescent="0.35">
      <c r="D61">
        <f t="shared" si="1"/>
        <v>0</v>
      </c>
    </row>
    <row r="62" spans="4:4" x14ac:dyDescent="0.35">
      <c r="D62">
        <f t="shared" si="1"/>
        <v>0</v>
      </c>
    </row>
    <row r="63" spans="4:4" x14ac:dyDescent="0.35">
      <c r="D63">
        <f t="shared" si="1"/>
        <v>0</v>
      </c>
    </row>
    <row r="64" spans="4:4" x14ac:dyDescent="0.35">
      <c r="D64">
        <f t="shared" si="1"/>
        <v>0</v>
      </c>
    </row>
    <row r="65" spans="4:4" x14ac:dyDescent="0.35">
      <c r="D65">
        <f t="shared" si="1"/>
        <v>0</v>
      </c>
    </row>
    <row r="66" spans="4:4" x14ac:dyDescent="0.35">
      <c r="D66">
        <f t="shared" si="1"/>
        <v>0</v>
      </c>
    </row>
    <row r="67" spans="4:4" x14ac:dyDescent="0.35">
      <c r="D67">
        <f t="shared" si="1"/>
        <v>0</v>
      </c>
    </row>
    <row r="68" spans="4:4" x14ac:dyDescent="0.35">
      <c r="D68">
        <f t="shared" si="1"/>
        <v>0</v>
      </c>
    </row>
    <row r="69" spans="4:4" x14ac:dyDescent="0.35">
      <c r="D69">
        <f t="shared" si="1"/>
        <v>0</v>
      </c>
    </row>
    <row r="70" spans="4:4" x14ac:dyDescent="0.35">
      <c r="D70">
        <f t="shared" si="1"/>
        <v>0</v>
      </c>
    </row>
    <row r="71" spans="4:4" x14ac:dyDescent="0.35">
      <c r="D71">
        <f t="shared" si="1"/>
        <v>0</v>
      </c>
    </row>
    <row r="72" spans="4:4" x14ac:dyDescent="0.35">
      <c r="D72">
        <f t="shared" si="1"/>
        <v>0</v>
      </c>
    </row>
    <row r="73" spans="4:4" x14ac:dyDescent="0.35">
      <c r="D73">
        <f t="shared" si="1"/>
        <v>0</v>
      </c>
    </row>
    <row r="74" spans="4:4" x14ac:dyDescent="0.35">
      <c r="D74">
        <f t="shared" si="1"/>
        <v>0</v>
      </c>
    </row>
    <row r="75" spans="4:4" x14ac:dyDescent="0.35">
      <c r="D75">
        <f t="shared" si="1"/>
        <v>0</v>
      </c>
    </row>
    <row r="76" spans="4:4" x14ac:dyDescent="0.35">
      <c r="D76">
        <f t="shared" si="1"/>
        <v>0</v>
      </c>
    </row>
    <row r="77" spans="4:4" x14ac:dyDescent="0.35">
      <c r="D77">
        <f t="shared" si="1"/>
        <v>0</v>
      </c>
    </row>
    <row r="78" spans="4:4" x14ac:dyDescent="0.35">
      <c r="D78">
        <f t="shared" si="1"/>
        <v>0</v>
      </c>
    </row>
    <row r="79" spans="4:4" x14ac:dyDescent="0.35">
      <c r="D79">
        <f t="shared" si="1"/>
        <v>0</v>
      </c>
    </row>
    <row r="80" spans="4:4" x14ac:dyDescent="0.35">
      <c r="D80">
        <f t="shared" si="1"/>
        <v>0</v>
      </c>
    </row>
    <row r="81" spans="4:4" x14ac:dyDescent="0.35">
      <c r="D81">
        <f t="shared" si="1"/>
        <v>0</v>
      </c>
    </row>
    <row r="82" spans="4:4" x14ac:dyDescent="0.35">
      <c r="D82">
        <f t="shared" si="1"/>
        <v>0</v>
      </c>
    </row>
    <row r="83" spans="4:4" x14ac:dyDescent="0.35">
      <c r="D83">
        <f t="shared" si="1"/>
        <v>0</v>
      </c>
    </row>
    <row r="84" spans="4:4" x14ac:dyDescent="0.35">
      <c r="D84">
        <f t="shared" si="1"/>
        <v>0</v>
      </c>
    </row>
    <row r="85" spans="4:4" x14ac:dyDescent="0.35">
      <c r="D85">
        <f t="shared" si="1"/>
        <v>0</v>
      </c>
    </row>
    <row r="86" spans="4:4" x14ac:dyDescent="0.35">
      <c r="D86">
        <f t="shared" si="1"/>
        <v>0</v>
      </c>
    </row>
    <row r="87" spans="4:4" x14ac:dyDescent="0.35">
      <c r="D87">
        <f t="shared" si="1"/>
        <v>0</v>
      </c>
    </row>
    <row r="88" spans="4:4" x14ac:dyDescent="0.35">
      <c r="D88">
        <f t="shared" si="1"/>
        <v>0</v>
      </c>
    </row>
    <row r="89" spans="4:4" x14ac:dyDescent="0.35">
      <c r="D89">
        <f t="shared" si="1"/>
        <v>0</v>
      </c>
    </row>
    <row r="90" spans="4:4" x14ac:dyDescent="0.35">
      <c r="D90">
        <f t="shared" ref="D90:D100" si="2">SUM(E90:EI90)</f>
        <v>0</v>
      </c>
    </row>
    <row r="91" spans="4:4" x14ac:dyDescent="0.35">
      <c r="D91">
        <f t="shared" si="2"/>
        <v>0</v>
      </c>
    </row>
    <row r="92" spans="4:4" x14ac:dyDescent="0.35">
      <c r="D92">
        <f t="shared" si="2"/>
        <v>0</v>
      </c>
    </row>
    <row r="93" spans="4:4" x14ac:dyDescent="0.35">
      <c r="D93">
        <f t="shared" si="2"/>
        <v>0</v>
      </c>
    </row>
    <row r="94" spans="4:4" x14ac:dyDescent="0.35">
      <c r="D94">
        <f t="shared" si="2"/>
        <v>0</v>
      </c>
    </row>
    <row r="95" spans="4:4" x14ac:dyDescent="0.35">
      <c r="D95">
        <f t="shared" si="2"/>
        <v>0</v>
      </c>
    </row>
    <row r="96" spans="4:4" x14ac:dyDescent="0.35">
      <c r="D96">
        <f t="shared" si="2"/>
        <v>0</v>
      </c>
    </row>
    <row r="97" spans="4:4" x14ac:dyDescent="0.35">
      <c r="D97">
        <f t="shared" si="2"/>
        <v>0</v>
      </c>
    </row>
    <row r="98" spans="4:4" x14ac:dyDescent="0.35">
      <c r="D98">
        <f t="shared" si="2"/>
        <v>0</v>
      </c>
    </row>
    <row r="99" spans="4:4" x14ac:dyDescent="0.35">
      <c r="D99">
        <f t="shared" si="2"/>
        <v>0</v>
      </c>
    </row>
    <row r="100" spans="4:4" x14ac:dyDescent="0.35">
      <c r="D100">
        <f t="shared" si="2"/>
        <v>0</v>
      </c>
    </row>
  </sheetData>
  <dataValidations count="1">
    <dataValidation allowBlank="1" showInputMessage="1" showErrorMessage="1" sqref="B6:B108 D6:D103" xr:uid="{75773CCF-56C6-4121-9A54-AC7B668A97C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0B38DE-D317-49A1-A0A4-C637AFD6D321}">
          <x14:formula1>
            <xm:f>'Project info summary'!$A$10:$A$30</xm:f>
          </x14:formula1>
          <xm:sqref>A6:A100</xm:sqref>
        </x14:dataValidation>
        <x14:dataValidation type="list" allowBlank="1" showInputMessage="1" showErrorMessage="1" xr:uid="{757198FA-1F96-484A-BED6-0D8632B9E98E}">
          <x14:formula1>
            <xm:f>'Project info summary'!$D$10:$D$14</xm:f>
          </x14:formula1>
          <xm:sqref>C6:C88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A8C5-A4B4-4A6B-A658-832F4C3C50E7}">
  <dimension ref="A1:D7"/>
  <sheetViews>
    <sheetView workbookViewId="0">
      <selection activeCell="A5" sqref="A5"/>
    </sheetView>
  </sheetViews>
  <sheetFormatPr defaultRowHeight="14.5" x14ac:dyDescent="0.35"/>
  <cols>
    <col min="1" max="1" width="27.453125" customWidth="1"/>
    <col min="2" max="2" width="13.7265625" customWidth="1"/>
    <col min="3" max="3" width="17.453125" customWidth="1"/>
    <col min="4" max="4" width="19.26953125" customWidth="1"/>
  </cols>
  <sheetData>
    <row r="1" spans="1:4" x14ac:dyDescent="0.35">
      <c r="A1" s="20" t="s">
        <v>59</v>
      </c>
      <c r="B1" s="20"/>
      <c r="C1" s="20"/>
      <c r="D1" s="20"/>
    </row>
    <row r="2" spans="1:4" x14ac:dyDescent="0.35">
      <c r="A2" s="20" t="s">
        <v>60</v>
      </c>
      <c r="B2" s="20" t="s">
        <v>61</v>
      </c>
      <c r="C2" s="20" t="s">
        <v>62</v>
      </c>
      <c r="D2" s="20" t="s">
        <v>63</v>
      </c>
    </row>
    <row r="3" spans="1:4" x14ac:dyDescent="0.35">
      <c r="A3" s="12" t="s">
        <v>15</v>
      </c>
      <c r="B3" s="12">
        <f>SUMIF(Gannt!$C$6:$C$99,Costs!A3,Gannt!$D$6:$D$101)</f>
        <v>0</v>
      </c>
      <c r="C3" s="14">
        <f>'Project info summary'!G10</f>
        <v>105</v>
      </c>
      <c r="D3" s="14">
        <f>B3*C3</f>
        <v>0</v>
      </c>
    </row>
    <row r="4" spans="1:4" x14ac:dyDescent="0.35">
      <c r="A4" s="12" t="s">
        <v>19</v>
      </c>
      <c r="B4" s="12">
        <f>SUMIF(Gannt!$C$6:$C$99,Costs!A4,Gannt!$D$6:$D$101)</f>
        <v>0</v>
      </c>
      <c r="C4" s="14">
        <f>'Project info summary'!G11</f>
        <v>25</v>
      </c>
      <c r="D4" s="14">
        <f t="shared" ref="D4:D7" si="0">B4*C4</f>
        <v>0</v>
      </c>
    </row>
    <row r="5" spans="1:4" x14ac:dyDescent="0.35">
      <c r="A5" s="12" t="s">
        <v>22</v>
      </c>
      <c r="B5" s="12">
        <f>SUMIF(Gannt!$C$6:$C$99,Costs!A5,Gannt!$D$6:$D$101)</f>
        <v>0</v>
      </c>
      <c r="C5" s="14">
        <f>'Project info summary'!G12</f>
        <v>45</v>
      </c>
      <c r="D5" s="14">
        <f t="shared" si="0"/>
        <v>0</v>
      </c>
    </row>
    <row r="6" spans="1:4" x14ac:dyDescent="0.35">
      <c r="A6" s="12" t="s">
        <v>25</v>
      </c>
      <c r="B6" s="12">
        <f>SUMIF(Gannt!$C$6:$C$99,Costs!A6,Gannt!$D$6:$D$101)</f>
        <v>0</v>
      </c>
      <c r="C6" s="14">
        <f>'Project info summary'!G13</f>
        <v>47.5</v>
      </c>
      <c r="D6" s="14">
        <f t="shared" si="0"/>
        <v>0</v>
      </c>
    </row>
    <row r="7" spans="1:4" x14ac:dyDescent="0.35">
      <c r="A7" s="12" t="s">
        <v>29</v>
      </c>
      <c r="B7" s="12">
        <f>SUMIF(Gannt!$C$6:$C$99,Costs!A7,Gannt!$D$6:$D$101)</f>
        <v>0</v>
      </c>
      <c r="C7" s="14">
        <f>'Project info summary'!G14</f>
        <v>73</v>
      </c>
      <c r="D7" s="14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1800-8B56-4B42-AC22-691F179B2AAA}">
  <dimension ref="A1:B21"/>
  <sheetViews>
    <sheetView tabSelected="1" workbookViewId="0">
      <selection activeCell="B32" sqref="B32"/>
    </sheetView>
  </sheetViews>
  <sheetFormatPr defaultRowHeight="14.5" x14ac:dyDescent="0.35"/>
  <cols>
    <col min="1" max="1" width="19.26953125" customWidth="1"/>
    <col min="2" max="2" width="22.81640625" customWidth="1"/>
  </cols>
  <sheetData>
    <row r="1" spans="1:2" x14ac:dyDescent="0.35">
      <c r="A1" s="1" t="s">
        <v>76</v>
      </c>
    </row>
    <row r="2" spans="1:2" ht="29" customHeight="1" x14ac:dyDescent="0.35">
      <c r="A2" s="27" t="s">
        <v>77</v>
      </c>
      <c r="B2" s="27"/>
    </row>
    <row r="3" spans="1:2" x14ac:dyDescent="0.35">
      <c r="A3" s="1" t="s">
        <v>78</v>
      </c>
    </row>
    <row r="5" spans="1:2" x14ac:dyDescent="0.35">
      <c r="A5" s="12" t="s">
        <v>64</v>
      </c>
      <c r="B5" s="12" t="s">
        <v>65</v>
      </c>
    </row>
    <row r="6" spans="1:2" x14ac:dyDescent="0.35">
      <c r="A6" s="12" t="s">
        <v>66</v>
      </c>
      <c r="B6" s="12" t="s">
        <v>65</v>
      </c>
    </row>
    <row r="7" spans="1:2" x14ac:dyDescent="0.35">
      <c r="A7" s="12" t="s">
        <v>67</v>
      </c>
      <c r="B7" s="12" t="s">
        <v>65</v>
      </c>
    </row>
    <row r="8" spans="1:2" x14ac:dyDescent="0.35">
      <c r="A8" s="12" t="s">
        <v>68</v>
      </c>
      <c r="B8" s="12" t="s">
        <v>65</v>
      </c>
    </row>
    <row r="12" spans="1:2" x14ac:dyDescent="0.35">
      <c r="A12" s="1" t="s">
        <v>69</v>
      </c>
    </row>
    <row r="13" spans="1:2" x14ac:dyDescent="0.35">
      <c r="A13" t="s">
        <v>70</v>
      </c>
    </row>
    <row r="14" spans="1:2" x14ac:dyDescent="0.35">
      <c r="A14" t="s">
        <v>71</v>
      </c>
    </row>
    <row r="15" spans="1:2" x14ac:dyDescent="0.35">
      <c r="A15" t="s">
        <v>72</v>
      </c>
    </row>
    <row r="16" spans="1:2" x14ac:dyDescent="0.35">
      <c r="A16" t="s">
        <v>73</v>
      </c>
    </row>
    <row r="17" spans="1:1" x14ac:dyDescent="0.35">
      <c r="A17" t="s">
        <v>74</v>
      </c>
    </row>
    <row r="18" spans="1:1" x14ac:dyDescent="0.35">
      <c r="A18" t="s">
        <v>75</v>
      </c>
    </row>
    <row r="19" spans="1:1" x14ac:dyDescent="0.35">
      <c r="A19" t="s">
        <v>79</v>
      </c>
    </row>
    <row r="21" spans="1:1" x14ac:dyDescent="0.35">
      <c r="A21" s="26" t="s">
        <v>80</v>
      </c>
    </row>
  </sheetData>
  <mergeCells count="1"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694C6FDE3F8428E531DB9CF9F3F5F" ma:contentTypeVersion="19" ma:contentTypeDescription="Create a new document." ma:contentTypeScope="" ma:versionID="16f5321d113bbec005d728571e624fd4">
  <xsd:schema xmlns:xsd="http://www.w3.org/2001/XMLSchema" xmlns:xs="http://www.w3.org/2001/XMLSchema" xmlns:p="http://schemas.microsoft.com/office/2006/metadata/properties" xmlns:ns2="03002ca9-34ad-434c-ac87-26756c0cdd06" xmlns:ns3="477676f7-3aaa-488c-8018-0d93153801a5" targetNamespace="http://schemas.microsoft.com/office/2006/metadata/properties" ma:root="true" ma:fieldsID="7016ebc9f2eeead898cb7eeda3ffad88" ns2:_="" ns3:_="">
    <xsd:import namespace="03002ca9-34ad-434c-ac87-26756c0cdd06"/>
    <xsd:import namespace="477676f7-3aaa-488c-8018-0d9315380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02ca9-34ad-434c-ac87-26756c0cd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676f7-3aaa-488c-8018-0d93153801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c00422-94a1-4b1d-81f8-6ce959344e31}" ma:internalName="TaxCatchAll" ma:showField="CatchAllData" ma:web="477676f7-3aaa-488c-8018-0d93153801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002ca9-34ad-434c-ac87-26756c0cdd06">
      <Terms xmlns="http://schemas.microsoft.com/office/infopath/2007/PartnerControls"/>
    </lcf76f155ced4ddcb4097134ff3c332f>
    <TaxCatchAll xmlns="477676f7-3aaa-488c-8018-0d93153801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4266D4-E535-48C9-8C17-7365300AC17B}"/>
</file>

<file path=customXml/itemProps2.xml><?xml version="1.0" encoding="utf-8"?>
<ds:datastoreItem xmlns:ds="http://schemas.openxmlformats.org/officeDocument/2006/customXml" ds:itemID="{AD31C9DB-EB43-47CA-A548-723D8A50A640}">
  <ds:schemaRefs>
    <ds:schemaRef ds:uri="http://schemas.microsoft.com/office/2006/metadata/properties"/>
    <ds:schemaRef ds:uri="http://schemas.microsoft.com/office/infopath/2007/PartnerControls"/>
    <ds:schemaRef ds:uri="03002ca9-34ad-434c-ac87-26756c0cdd06"/>
    <ds:schemaRef ds:uri="477676f7-3aaa-488c-8018-0d93153801a5"/>
  </ds:schemaRefs>
</ds:datastoreItem>
</file>

<file path=customXml/itemProps3.xml><?xml version="1.0" encoding="utf-8"?>
<ds:datastoreItem xmlns:ds="http://schemas.openxmlformats.org/officeDocument/2006/customXml" ds:itemID="{99480152-F40F-48A5-90B7-AE0880D734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 summary</vt:lpstr>
      <vt:lpstr>Gannt</vt:lpstr>
      <vt:lpstr>Costs</vt:lpstr>
      <vt:lpstr>Copyright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Garrill</cp:lastModifiedBy>
  <cp:revision/>
  <dcterms:created xsi:type="dcterms:W3CDTF">2024-09-23T11:57:42Z</dcterms:created>
  <dcterms:modified xsi:type="dcterms:W3CDTF">2025-06-09T14:48:00Z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0x010100074694C6FDE3F8428E531DB9CF9F3F5F</vt:lpwstr>
  </property>
  <property fmtid="{D5CDD505-2E9C-101B-9397-08002B2CF9AE}" pid="3" name="MediaServiceImageTags">
    <vt:lpwstr/>
  </property>
</Properties>
</file>